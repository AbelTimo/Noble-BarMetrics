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Menu" sheetId="2" r:id="rId6"/>
    <sheet state="visible" name="Sheet6" sheetId="3" r:id="rId7"/>
    <sheet state="visible" name="cocktail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tc={1c4584f3-2889-421e-b183-3b34d03011a1}</author>
    <author>tc={2dd9f1e2-7f09-46b6-a85a-90256e7a8517}</author>
    <author>tc={6687435e-c549-4138-b32d-deebe6cd92d4}</author>
    <author>tc={6bba7ead-23f5-4232-9f30-329d2d7d8371}</author>
    <author>tc={7313cb6a-2f98-498f-b279-b93d386d069f}</author>
    <author>tc={9462c006-85bf-4304-95df-ba4aa057905e}</author>
    <author>tc={c190511a-bafa-4466-89f0-e07d64ad583d}</author>
    <author>tc={e2e998d7-b389-4fea-837d-aa0f08d9f02d}</author>
    <author>tc={e3442760-bbbe-40e3-9ba0-f5952f769197}</author>
  </authors>
  <commentList>
    <comment authorId="0" xr:uid="{1c4584f3-2889-421e-b183-3b34d03011a1}" ref="L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1200
</t>
      </text>
    </comment>
    <comment authorId="1" xr:uid="{2dd9f1e2-7f09-46b6-a85a-90256e7a8517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
</t>
      </text>
    </comment>
    <comment authorId="2" xr:uid="{6687435e-c549-4138-b32d-deebe6cd92d4}" ref="L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price 3600, 1ml=18birr
</t>
      </text>
    </comment>
    <comment authorId="3" xr:uid="{6bba7ead-23f5-4232-9f30-329d2d7d8371}" ref="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600
</t>
      </text>
    </comment>
    <comment authorId="4" xr:uid="{7313cb6a-2f98-498f-b279-b93d386d069f}" ref="L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2700
</t>
      </text>
    </comment>
    <comment authorId="5" xr:uid="{9462c006-85bf-4304-95df-ba4aa057905e}" ref="L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3000
</t>
      </text>
    </comment>
    <comment authorId="6" xr:uid="{c190511a-bafa-4466-89f0-e07d64ad583d}" ref="L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
</t>
      </text>
    </comment>
    <comment authorId="7" xr:uid="{e2e998d7-b389-4fea-837d-aa0f08d9f02d}" ref="L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
</t>
      </text>
    </comment>
    <comment authorId="8" xr:uid="{e3442760-bbbe-40e3-9ba0-f5952f769197}" ref="L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tc={58ee0155-d328-4a81-bb76-71023221cc63}</author>
    <author>tc={88cfdb03-e85f-496f-9444-ce932b3ab24a}</author>
    <author>tc={97e543e7-69a2-42ec-a97d-f35a481b3076}</author>
  </authors>
  <commentList>
    <comment authorId="0" xr:uid="{58ee0155-d328-4a81-bb76-71023221cc63}" ref="F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
</t>
      </text>
    </comment>
    <comment authorId="1" xr:uid="{88cfdb03-e85f-496f-9444-ce932b3ab24a}" ref="F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 birr
</t>
      </text>
    </comment>
    <comment authorId="2" xr:uid="{97e543e7-69a2-42ec-a97d-f35a481b3076}" ref="D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</commentList>
</comments>
</file>

<file path=xl/sharedStrings.xml><?xml version="1.0" encoding="utf-8"?>
<sst xmlns="http://schemas.openxmlformats.org/spreadsheetml/2006/main" count="1223" uniqueCount="391">
  <si>
    <t>S/No</t>
  </si>
  <si>
    <t>Name</t>
  </si>
  <si>
    <t>Ingredient</t>
  </si>
  <si>
    <t>Uom</t>
  </si>
  <si>
    <t>Amount</t>
  </si>
  <si>
    <t>COGS</t>
  </si>
  <si>
    <t>OH</t>
  </si>
  <si>
    <t>PROFIT</t>
  </si>
  <si>
    <t>SERVICE</t>
  </si>
  <si>
    <t>VAT</t>
  </si>
  <si>
    <t>Exisiting P</t>
  </si>
  <si>
    <t>Last price</t>
  </si>
  <si>
    <t>Arada</t>
  </si>
  <si>
    <t>pc</t>
  </si>
  <si>
    <t>Absolute bottle</t>
  </si>
  <si>
    <t>Absolute</t>
  </si>
  <si>
    <t>ml</t>
  </si>
  <si>
    <t>Absolute half bottle</t>
  </si>
  <si>
    <t>Absolute shot</t>
  </si>
  <si>
    <t>Acacia Dry Red bottle</t>
  </si>
  <si>
    <t>Acacia Dry Red</t>
  </si>
  <si>
    <t>Acacia Dry Red glass</t>
  </si>
  <si>
    <t>Acacia Dry Red Shot</t>
  </si>
  <si>
    <t>Acacia Medium Sweet Red bottle</t>
  </si>
  <si>
    <t>Acacia Medium Sweet Red</t>
  </si>
  <si>
    <t>Acacia Medium Sweet Red Glass</t>
  </si>
  <si>
    <t>Acacia Medium Sweet Red Shot</t>
  </si>
  <si>
    <t>Acacia Medium Sweet Rose bottle</t>
  </si>
  <si>
    <t>Acacia Medium Sweet Rose</t>
  </si>
  <si>
    <t>Acacia Medium Sweet Rose Glass</t>
  </si>
  <si>
    <t>Acacia Medium Sweet Rose Shot</t>
  </si>
  <si>
    <t>Acacia Medium Sweet White bottle</t>
  </si>
  <si>
    <t>Acacia Medium Sweet White</t>
  </si>
  <si>
    <t>Acacia Medium Sweet White glass</t>
  </si>
  <si>
    <t>Acacia Medium Sweer White Shot</t>
  </si>
  <si>
    <t>Amarula bottle</t>
  </si>
  <si>
    <t xml:space="preserve">Amarula </t>
  </si>
  <si>
    <t>Amarula half bottle</t>
  </si>
  <si>
    <t>Amarula shot</t>
  </si>
  <si>
    <t>Ambo Water</t>
  </si>
  <si>
    <t>Ambo</t>
  </si>
  <si>
    <t>Anejo Patron bottle</t>
  </si>
  <si>
    <t>Anejo Patron</t>
  </si>
  <si>
    <t>Anejo Patron shot</t>
  </si>
  <si>
    <t>Aperol bottle</t>
  </si>
  <si>
    <t>Aperol</t>
  </si>
  <si>
    <t>Aperol half bottle</t>
  </si>
  <si>
    <t>Aperol shot</t>
  </si>
  <si>
    <t xml:space="preserve">Bacardi </t>
  </si>
  <si>
    <t>Bailys bottle</t>
  </si>
  <si>
    <t>Bailys</t>
  </si>
  <si>
    <t>Bailys half bottle</t>
  </si>
  <si>
    <t>Bailys shot</t>
  </si>
  <si>
    <t>Beefeater Bottle</t>
  </si>
  <si>
    <t>Beefeater</t>
  </si>
  <si>
    <t>Beefeater Half Bottle</t>
  </si>
  <si>
    <t>Beefeater shot</t>
  </si>
  <si>
    <t>Betters</t>
  </si>
  <si>
    <t xml:space="preserve">Black Label Bottle </t>
  </si>
  <si>
    <t>Black Label</t>
  </si>
  <si>
    <t>Black Label Half Bottle</t>
  </si>
  <si>
    <t>Black Label shot</t>
  </si>
  <si>
    <t>Black valvent</t>
  </si>
  <si>
    <t>Blue Label Bottle</t>
  </si>
  <si>
    <t>Blue Label</t>
  </si>
  <si>
    <t>Blue Label Half Bottle</t>
  </si>
  <si>
    <t>Blue Label Shot</t>
  </si>
  <si>
    <t>Bols Blue Bottle</t>
  </si>
  <si>
    <t xml:space="preserve">Bols Blue </t>
  </si>
  <si>
    <t>Bols Blue Half Bottle</t>
  </si>
  <si>
    <t>Bols Blue Shot</t>
  </si>
  <si>
    <t>Bols White( bols Triple sec) Bottle</t>
  </si>
  <si>
    <t xml:space="preserve">Bols White( bols Triple sec) </t>
  </si>
  <si>
    <t>Bols White( bols Triple sec) Half Bottle</t>
  </si>
  <si>
    <t>Bols White( bols Triple sec) Shot</t>
  </si>
  <si>
    <t>Bombay Gin Bottle</t>
  </si>
  <si>
    <t>Bombay Gin</t>
  </si>
  <si>
    <t>Bombay Gin Half Bottle</t>
  </si>
  <si>
    <t>Bombay Gin Shot</t>
  </si>
  <si>
    <t>Camino Tequila Bottle</t>
  </si>
  <si>
    <t>Camino tequila</t>
  </si>
  <si>
    <t>Camino Tequila Half  Bottle</t>
  </si>
  <si>
    <t>Camino Tequila Shot</t>
  </si>
  <si>
    <t>Campari Bottle</t>
  </si>
  <si>
    <t>Campari</t>
  </si>
  <si>
    <t>Campari Half Bottle</t>
  </si>
  <si>
    <t>Campari Shot</t>
  </si>
  <si>
    <t>Carpano Botanic</t>
  </si>
  <si>
    <t>Casamigos 1Li</t>
  </si>
  <si>
    <t>casamigos</t>
  </si>
  <si>
    <t>champion</t>
  </si>
  <si>
    <t>Chivas Bottle</t>
  </si>
  <si>
    <t>Chivas</t>
  </si>
  <si>
    <t>Chivas Half Bottle</t>
  </si>
  <si>
    <t>Chivas Shot</t>
  </si>
  <si>
    <t>Corralejo Bottle</t>
  </si>
  <si>
    <t>Corralejo</t>
  </si>
  <si>
    <t>Corralejo Half Bottle</t>
  </si>
  <si>
    <t>Corralejo Shot</t>
  </si>
  <si>
    <t>Donjulio Bottle</t>
  </si>
  <si>
    <t>Donjulio</t>
  </si>
  <si>
    <t>Donjulio Half Bottle</t>
  </si>
  <si>
    <t>Donjulio shot</t>
  </si>
  <si>
    <t>Double Black Label Bottle</t>
  </si>
  <si>
    <t>Double Black Label</t>
  </si>
  <si>
    <t>Double Black Label Half bottle</t>
  </si>
  <si>
    <t>Double Black Label Shot</t>
  </si>
  <si>
    <t>Fernet Bottle</t>
  </si>
  <si>
    <t>Fernet</t>
  </si>
  <si>
    <t>Fernet Half Bottle</t>
  </si>
  <si>
    <t>Fernet Shot</t>
  </si>
  <si>
    <t>Gila Aenj Bottle</t>
  </si>
  <si>
    <t xml:space="preserve">Gila Aenj </t>
  </si>
  <si>
    <t>Gila Rep Bottle</t>
  </si>
  <si>
    <t>Gila Rep</t>
  </si>
  <si>
    <t>Glenfiddich Bottle</t>
  </si>
  <si>
    <t>Glenfiddich</t>
  </si>
  <si>
    <t>Glenfiddich Half Bottle</t>
  </si>
  <si>
    <t>Glenfiddich Shot</t>
  </si>
  <si>
    <t>Gold Label Bottle</t>
  </si>
  <si>
    <t>Gold Label</t>
  </si>
  <si>
    <t>Gold Label Half Bottle</t>
  </si>
  <si>
    <t>Gold Label Shot</t>
  </si>
  <si>
    <t>Gordon’s Bottle</t>
  </si>
  <si>
    <t>Gordon’s</t>
  </si>
  <si>
    <t>Gordon’s Half Bottle</t>
  </si>
  <si>
    <t>Gordon’s Shot</t>
  </si>
  <si>
    <t>Grant Whiskey Bottle</t>
  </si>
  <si>
    <t>Grant</t>
  </si>
  <si>
    <t>Grant Whiskey Half Bottle</t>
  </si>
  <si>
    <t>Grant Whiskey shot</t>
  </si>
  <si>
    <t>Habesha</t>
  </si>
  <si>
    <t>Hankey whiskey Bottle</t>
  </si>
  <si>
    <t>Hankey whiskey</t>
  </si>
  <si>
    <t>Hankey whiskey Half Bottle</t>
  </si>
  <si>
    <t>Hankey whiskey shot</t>
  </si>
  <si>
    <t>Havana Bottle</t>
  </si>
  <si>
    <t xml:space="preserve">Havana </t>
  </si>
  <si>
    <t>Havana Half Bottle</t>
  </si>
  <si>
    <t>Havana Shot</t>
  </si>
  <si>
    <t>Havana Dark Bottle</t>
  </si>
  <si>
    <t>Havana Dark</t>
  </si>
  <si>
    <t>Havana Dark Half Bottle</t>
  </si>
  <si>
    <t>Havana Dark Shot</t>
  </si>
  <si>
    <t>Heineken</t>
  </si>
  <si>
    <t>Hennesy v.s.o.p Bottle</t>
  </si>
  <si>
    <t>Hennesy v.s.o.p</t>
  </si>
  <si>
    <t>Hennesy v.s.o.p Half Bottle</t>
  </si>
  <si>
    <t>Hennesy v.s.o.p Shot</t>
  </si>
  <si>
    <t>Jack Daniel 1L Bottle</t>
  </si>
  <si>
    <t xml:space="preserve">Jack Daniel </t>
  </si>
  <si>
    <t>Jack Daniel Half Bottle</t>
  </si>
  <si>
    <t>Jack Daniel Shot</t>
  </si>
  <si>
    <t>Jack Daniel 3L</t>
  </si>
  <si>
    <t>Jack Daniel Honey 1L Bottle</t>
  </si>
  <si>
    <t>Jack Daniel Honey</t>
  </si>
  <si>
    <t>Jack Daniek Honey Shot</t>
  </si>
  <si>
    <t>Jagermeister Bottle</t>
  </si>
  <si>
    <t>Jagermeister</t>
  </si>
  <si>
    <t>Jagermeister Half Bottle</t>
  </si>
  <si>
    <t>Jagermeister Shot</t>
  </si>
  <si>
    <t>Jameson Bottle</t>
  </si>
  <si>
    <t>Jameson</t>
  </si>
  <si>
    <t>Jameson Half Bottle</t>
  </si>
  <si>
    <t>Jameson Shot</t>
  </si>
  <si>
    <t>Jose Cuervo Silve Bottle</t>
  </si>
  <si>
    <t>Jose Cuervo Silve</t>
  </si>
  <si>
    <t>Jose Cuervo Silve Half Bottle</t>
  </si>
  <si>
    <t>Jose Cuervo Silver Shot</t>
  </si>
  <si>
    <t>Kahlua Bottle</t>
  </si>
  <si>
    <t>Kahula</t>
  </si>
  <si>
    <t>Kahlua Half Bottle</t>
  </si>
  <si>
    <t>Kahlua shot</t>
  </si>
  <si>
    <t>Kegna Beer</t>
  </si>
  <si>
    <t>Kemila Bottle</t>
  </si>
  <si>
    <t xml:space="preserve">Kemila </t>
  </si>
  <si>
    <t>Kemila Glass</t>
  </si>
  <si>
    <t xml:space="preserve">King Roberts whisky Bottle </t>
  </si>
  <si>
    <t>King Roberts whisky</t>
  </si>
  <si>
    <t>King Roberts whisky Half bottle</t>
  </si>
  <si>
    <t>King Roberts whisky Shot</t>
  </si>
  <si>
    <t>Lion pride whiskey Bottle</t>
  </si>
  <si>
    <t xml:space="preserve">Lion pride whiskey </t>
  </si>
  <si>
    <t>Lion pride whiskey Half Bottle</t>
  </si>
  <si>
    <t>Lion pride whiskey</t>
  </si>
  <si>
    <t>Lion pride whiskey Shot</t>
  </si>
  <si>
    <t>Luxardo Bottle</t>
  </si>
  <si>
    <t xml:space="preserve">Luxardo </t>
  </si>
  <si>
    <t>Luxardo Shot</t>
  </si>
  <si>
    <t>Luxardo</t>
  </si>
  <si>
    <t>Maker’s Mark Bottle</t>
  </si>
  <si>
    <t>Maker’s Mark</t>
  </si>
  <si>
    <t>Maker’s Mark Half Bottle</t>
  </si>
  <si>
    <t>Maker’s Mark Shot</t>
  </si>
  <si>
    <t>Malibu Bottle</t>
  </si>
  <si>
    <t>Malibu</t>
  </si>
  <si>
    <t xml:space="preserve">Malibu Half </t>
  </si>
  <si>
    <t>Malibu Shot</t>
  </si>
  <si>
    <t>Maraton Gin Bottle</t>
  </si>
  <si>
    <t>Maraton Gin</t>
  </si>
  <si>
    <t>Maraton Gin Half Bottle</t>
  </si>
  <si>
    <t>Maraton Gin Shot</t>
  </si>
  <si>
    <t xml:space="preserve">Maraton vodka Bottle </t>
  </si>
  <si>
    <t>Maraton vodka</t>
  </si>
  <si>
    <t>Maraton vodka Half Bottle</t>
  </si>
  <si>
    <t>Maraton vodka Shot</t>
  </si>
  <si>
    <t xml:space="preserve">Martini Bianco Bottle </t>
  </si>
  <si>
    <t>Martini Bianco</t>
  </si>
  <si>
    <t xml:space="preserve">Martini Bianco Half Bottle </t>
  </si>
  <si>
    <t>Martini Bianco Shot</t>
  </si>
  <si>
    <t>Martini Extra Dry Bottle</t>
  </si>
  <si>
    <t xml:space="preserve">Martini Extra Dry </t>
  </si>
  <si>
    <t>Martini Extra Dry Half Bottle</t>
  </si>
  <si>
    <t>Martini Extra Dry</t>
  </si>
  <si>
    <t>Martini Extra Dry Shot</t>
  </si>
  <si>
    <t xml:space="preserve">Martini Rosso Bottle </t>
  </si>
  <si>
    <t>Martini Rosso</t>
  </si>
  <si>
    <t xml:space="preserve">Martini Rosso Half Bottle </t>
  </si>
  <si>
    <t>Martini Rosso Shot</t>
  </si>
  <si>
    <t>Olmeca chocolate Bottle</t>
  </si>
  <si>
    <t xml:space="preserve">Olmeca chocolate </t>
  </si>
  <si>
    <t xml:space="preserve">Olmeca chocolate  Half Bottle  </t>
  </si>
  <si>
    <t>Olmeca chocolate</t>
  </si>
  <si>
    <t>Olmeca chocolate Shot</t>
  </si>
  <si>
    <t>Patron Aenj</t>
  </si>
  <si>
    <t>Patron Rep</t>
  </si>
  <si>
    <t>PIMMS Cup Shot</t>
  </si>
  <si>
    <t>PIMMS Cup</t>
  </si>
  <si>
    <t>Pink Beefeater Bottle</t>
  </si>
  <si>
    <t>Pink Beefeater</t>
  </si>
  <si>
    <t>Pink Beefeater Half Bottle</t>
  </si>
  <si>
    <t xml:space="preserve">Pink Beefeater </t>
  </si>
  <si>
    <t>Pink Beefeater Shot</t>
  </si>
  <si>
    <t>Red Label Bottle</t>
  </si>
  <si>
    <t>Red Label</t>
  </si>
  <si>
    <t>Red Label Half Bottle</t>
  </si>
  <si>
    <t>Red Label Shot</t>
  </si>
  <si>
    <t>Red label</t>
  </si>
  <si>
    <t>Redbull</t>
  </si>
  <si>
    <t>Rift Valley Dry Red Bottle</t>
  </si>
  <si>
    <t>Rift valley dry red</t>
  </si>
  <si>
    <t>Rift Valley Dry Glass</t>
  </si>
  <si>
    <t>Rift Valley Dry White Bottle</t>
  </si>
  <si>
    <t>Rift valley dry white</t>
  </si>
  <si>
    <t>Rift Valley Dry White Glass</t>
  </si>
  <si>
    <t>Sarjento</t>
  </si>
  <si>
    <t>Sierra Tequila Bottle</t>
  </si>
  <si>
    <t>Sierra Tequila</t>
  </si>
  <si>
    <t>Sierra Tequila Half Bottle</t>
  </si>
  <si>
    <t>Sierra Tequila Shot</t>
  </si>
  <si>
    <t>Silver Patron</t>
  </si>
  <si>
    <t>Sir Edward Bottle</t>
  </si>
  <si>
    <t>Sir Edward Half Bottle</t>
  </si>
  <si>
    <t>Sir Edwards shot</t>
  </si>
  <si>
    <t>Smirnoff 1L bottle</t>
  </si>
  <si>
    <t xml:space="preserve">Smirnoff </t>
  </si>
  <si>
    <t>Smirnoff 0.75L bottle</t>
  </si>
  <si>
    <t>Smirnoff 0.5L bottle</t>
  </si>
  <si>
    <t>Smirnoff  shot</t>
  </si>
  <si>
    <t xml:space="preserve">smirnoff </t>
  </si>
  <si>
    <t>Soda</t>
  </si>
  <si>
    <t>Stolichnaya 1L</t>
  </si>
  <si>
    <t>Stolichnaya</t>
  </si>
  <si>
    <t>Stolichnaya 0.75L</t>
  </si>
  <si>
    <t>Stolichnaya half bottle</t>
  </si>
  <si>
    <t xml:space="preserve">stolichnaya </t>
  </si>
  <si>
    <t>Stolichnaya shot</t>
  </si>
  <si>
    <t>Villia Massa Bottle</t>
  </si>
  <si>
    <t>Villia Massa</t>
  </si>
  <si>
    <t>Villia Massa Half Bottle</t>
  </si>
  <si>
    <t>Villia Massa Shot</t>
  </si>
  <si>
    <t>Water 0.5L</t>
  </si>
  <si>
    <t>water 0.5 L</t>
  </si>
  <si>
    <t>Water 1L</t>
  </si>
  <si>
    <t>water 1L</t>
  </si>
  <si>
    <t>name</t>
  </si>
  <si>
    <t>selling Price</t>
  </si>
  <si>
    <t>Hot Drinks</t>
  </si>
  <si>
    <t>Price</t>
  </si>
  <si>
    <t>Aprol espresso</t>
  </si>
  <si>
    <t>Tea</t>
  </si>
  <si>
    <t>Special Tea</t>
  </si>
  <si>
    <t>Special Tea With Alcohol</t>
  </si>
  <si>
    <t>Black russian</t>
  </si>
  <si>
    <t>Espresso</t>
  </si>
  <si>
    <t>Cappuccino</t>
  </si>
  <si>
    <t>Cosmopolitan</t>
  </si>
  <si>
    <t>macchiato</t>
  </si>
  <si>
    <t>Fasting macchiato</t>
  </si>
  <si>
    <t>Coffee</t>
  </si>
  <si>
    <t>Crafted gin and tonic by Maraton</t>
  </si>
  <si>
    <t>Crafted gin and tonic by Gordon</t>
  </si>
  <si>
    <t>Daiquiri</t>
  </si>
  <si>
    <t>Espresso martini</t>
  </si>
  <si>
    <t>TenAdam Martini</t>
  </si>
  <si>
    <t>Gin and mango by Marathon</t>
  </si>
  <si>
    <t>Gin and mango by Gordon</t>
  </si>
  <si>
    <t>Gin and tonic with gordon</t>
  </si>
  <si>
    <t>Gin fizz</t>
  </si>
  <si>
    <t>Gin sour with egg</t>
  </si>
  <si>
    <t xml:space="preserve">Gin sour </t>
  </si>
  <si>
    <t>Long iceland</t>
  </si>
  <si>
    <t>Manhattan</t>
  </si>
  <si>
    <t>Margarita tequila</t>
  </si>
  <si>
    <t>Margarita tequila with jose</t>
  </si>
  <si>
    <t>Moscow mule</t>
  </si>
  <si>
    <t>Negroni</t>
  </si>
  <si>
    <t>Negroni with gordon's</t>
  </si>
  <si>
    <t>Old fashioned by Jack daniel</t>
  </si>
  <si>
    <t>Old fashioned by jameson</t>
  </si>
  <si>
    <t>Old fashioned by Lions Pride</t>
  </si>
  <si>
    <t>Old fashioned by maker's mark</t>
  </si>
  <si>
    <t>Pimm's cup</t>
  </si>
  <si>
    <t>Pina colada</t>
  </si>
  <si>
    <t>Pineapple basil</t>
  </si>
  <si>
    <t>Timo</t>
  </si>
  <si>
    <t>Whiskey Sour with egg</t>
  </si>
  <si>
    <t xml:space="preserve">Whiskey Sour </t>
  </si>
  <si>
    <t>White russian</t>
  </si>
  <si>
    <t>paloma</t>
  </si>
  <si>
    <t xml:space="preserve">siesta </t>
  </si>
  <si>
    <t>Mojito with ment</t>
  </si>
  <si>
    <t>Mojito with pinaple</t>
  </si>
  <si>
    <t>Mojito with strawberry</t>
  </si>
  <si>
    <t>Nayo</t>
  </si>
  <si>
    <t>B50 white</t>
  </si>
  <si>
    <t>B50 Blue</t>
  </si>
  <si>
    <t>Cuba Libra</t>
  </si>
  <si>
    <t>Jack Daniel Honey Shot</t>
  </si>
  <si>
    <t>Olmeca Extra Aged Tequlia Shot</t>
  </si>
  <si>
    <t>UOM</t>
  </si>
  <si>
    <t>Shot</t>
  </si>
  <si>
    <t>Profit</t>
  </si>
  <si>
    <t>Service</t>
  </si>
  <si>
    <t>Vat</t>
  </si>
  <si>
    <t>Existing price</t>
  </si>
  <si>
    <t>price</t>
  </si>
  <si>
    <t>Acacia wine Medium Sweet White</t>
  </si>
  <si>
    <t xml:space="preserve">ml </t>
  </si>
  <si>
    <t xml:space="preserve">Marathon vodka </t>
  </si>
  <si>
    <t>Kahlua</t>
  </si>
  <si>
    <t>Maraton Vodka</t>
  </si>
  <si>
    <t>Simple Syrup</t>
  </si>
  <si>
    <t>Lemon Juice</t>
  </si>
  <si>
    <t>Strawberry juice</t>
  </si>
  <si>
    <t>Pineapple Juice</t>
  </si>
  <si>
    <t>Tonic Water</t>
  </si>
  <si>
    <t>Gordon’s London Dry Gin</t>
  </si>
  <si>
    <t>Havava Rum Shot</t>
  </si>
  <si>
    <t>Lemon  Juice</t>
  </si>
  <si>
    <t>Amarula</t>
  </si>
  <si>
    <t>Mango Juice</t>
  </si>
  <si>
    <t>Gordon Gin</t>
  </si>
  <si>
    <t>Bols Blue Curaçao</t>
  </si>
  <si>
    <t>Egg white(optional)</t>
  </si>
  <si>
    <t>PC</t>
  </si>
  <si>
    <t>Lions pride Whisky</t>
  </si>
  <si>
    <t>Sierra Tequila Silver</t>
  </si>
  <si>
    <t xml:space="preserve">Havana Club Añejo 3 Años  </t>
  </si>
  <si>
    <t>Coca Cola</t>
  </si>
  <si>
    <t xml:space="preserve">Long iceland with cmino </t>
  </si>
  <si>
    <t xml:space="preserve">camino </t>
  </si>
  <si>
    <t xml:space="preserve">Jose courvo </t>
  </si>
  <si>
    <t>Ginger Juice</t>
  </si>
  <si>
    <t>Simple syrup</t>
  </si>
  <si>
    <t>sprite</t>
  </si>
  <si>
    <t>Martini Rosso Sweet Vermouth</t>
  </si>
  <si>
    <t xml:space="preserve">Jack Daniel’s Old No. 7 Tennessee Whiskey </t>
  </si>
  <si>
    <t>Bitters</t>
  </si>
  <si>
    <t>Jameson Irish Whiskey</t>
  </si>
  <si>
    <t>Maker’s Mark Bourbon Whiskey</t>
  </si>
  <si>
    <t>Pimms</t>
  </si>
  <si>
    <t>Havana Club Añejo 3 Años</t>
  </si>
  <si>
    <t>Milk</t>
  </si>
  <si>
    <t>BASIL</t>
  </si>
  <si>
    <t>Orange Juice</t>
  </si>
  <si>
    <t>Honey</t>
  </si>
  <si>
    <t>egg</t>
  </si>
  <si>
    <t>ment</t>
  </si>
  <si>
    <t>Pinaple</t>
  </si>
  <si>
    <t>Strawberry</t>
  </si>
  <si>
    <t>pink beefeater</t>
  </si>
  <si>
    <t>Maratoon Vodka</t>
  </si>
  <si>
    <t>Amarulla</t>
  </si>
  <si>
    <t>coca</t>
  </si>
  <si>
    <t>Margarita tequila with camino</t>
  </si>
  <si>
    <t>camino shot</t>
  </si>
  <si>
    <t>siesta with camino</t>
  </si>
  <si>
    <t>paloma with camino</t>
  </si>
  <si>
    <t>``````````````````````````````````````````````````````````````````````````````````````````````</t>
  </si>
  <si>
    <t>Timo with camino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</si>
</sst>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Times New Roman"/>
    </font>
    <font>
      <color rgb="FF434343"/>
      <name val="Arial"/>
    </font>
    <font/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6A6A"/>
        <bgColor rgb="FFFF6A6A"/>
      </patternFill>
    </fill>
    <fill>
      <patternFill patternType="solid">
        <fgColor rgb="FFCC4125"/>
        <bgColor rgb="FFCC4125"/>
      </patternFill>
    </fill>
    <fill>
      <patternFill patternType="solid">
        <fgColor theme="5"/>
        <bgColor theme="5"/>
      </patternFill>
    </fill>
    <fill>
      <patternFill patternType="solid">
        <fgColor rgb="FF3C78D8"/>
        <bgColor rgb="FF3C78D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theme="6"/>
        <bgColor theme="6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0" fontId="1" numFmtId="4" xfId="0" applyFont="1" applyNumberFormat="1"/>
    <xf borderId="2" fillId="0" fontId="2" numFmtId="0" xfId="0" applyAlignment="1" applyBorder="1" applyFont="1">
      <alignment horizontal="right" vertical="center"/>
    </xf>
    <xf borderId="2" fillId="0" fontId="3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3" fillId="0" fontId="1" numFmtId="4" xfId="0" applyAlignment="1" applyBorder="1" applyFont="1" applyNumberFormat="1">
      <alignment readingOrder="0"/>
    </xf>
    <xf borderId="3" fillId="2" fontId="4" numFmtId="4" xfId="0" applyAlignment="1" applyBorder="1" applyFill="1" applyFont="1" applyNumberFormat="1">
      <alignment horizontal="right" shrinkToFit="0" vertical="bottom" wrapText="0"/>
    </xf>
    <xf borderId="3" fillId="2" fontId="4" numFmtId="0" xfId="0" applyAlignment="1" applyBorder="1" applyFont="1">
      <alignment horizontal="right" readingOrder="0" shrinkToFit="0" vertical="bottom" wrapText="0"/>
    </xf>
    <xf borderId="3" fillId="3" fontId="4" numFmtId="4" xfId="0" applyAlignment="1" applyBorder="1" applyFill="1" applyFont="1" applyNumberFormat="1">
      <alignment horizontal="right" readingOrder="0" shrinkToFit="0" vertical="bottom" wrapText="0"/>
    </xf>
    <xf borderId="1" fillId="3" fontId="4" numFmtId="0" xfId="0" applyAlignment="1" applyBorder="1" applyFont="1">
      <alignment horizontal="right" shrinkToFit="0" vertical="bottom" wrapText="0"/>
    </xf>
    <xf borderId="4" fillId="0" fontId="2" numFmtId="0" xfId="0" applyAlignment="1" applyBorder="1" applyFont="1">
      <alignment horizontal="right" vertical="center"/>
    </xf>
    <xf borderId="5" fillId="0" fontId="3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5" fillId="0" fontId="1" numFmtId="4" xfId="0" applyAlignment="1" applyBorder="1" applyFont="1" applyNumberFormat="1">
      <alignment readingOrder="0"/>
    </xf>
    <xf borderId="5" fillId="2" fontId="4" numFmtId="4" xfId="0" applyAlignment="1" applyBorder="1" applyFont="1" applyNumberFormat="1">
      <alignment horizontal="right" shrinkToFit="0" vertical="bottom" wrapText="0"/>
    </xf>
    <xf borderId="5" fillId="0" fontId="1" numFmtId="0" xfId="0" applyBorder="1" applyFont="1"/>
    <xf borderId="4" fillId="0" fontId="5" numFmtId="0" xfId="0" applyBorder="1" applyFont="1"/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1" numFmtId="4" xfId="0" applyBorder="1" applyFont="1" applyNumberFormat="1"/>
    <xf borderId="1" fillId="2" fontId="4" numFmtId="4" xfId="0" applyAlignment="1" applyBorder="1" applyFont="1" applyNumberFormat="1">
      <alignment horizontal="right" shrinkToFit="0" vertical="bottom" wrapText="0"/>
    </xf>
    <xf borderId="1" fillId="0" fontId="1" numFmtId="0" xfId="0" applyBorder="1" applyFont="1"/>
    <xf borderId="1" fillId="0" fontId="1" numFmtId="4" xfId="0" applyAlignment="1" applyBorder="1" applyFont="1" applyNumberFormat="1">
      <alignment readingOrder="0"/>
    </xf>
    <xf borderId="2" fillId="0" fontId="5" numFmtId="0" xfId="0" applyBorder="1" applyFont="1"/>
    <xf borderId="3" fillId="0" fontId="3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3" fillId="0" fontId="1" numFmtId="4" xfId="0" applyBorder="1" applyFont="1" applyNumberFormat="1"/>
    <xf borderId="3" fillId="0" fontId="1" numFmtId="0" xfId="0" applyBorder="1" applyFont="1"/>
    <xf borderId="4" fillId="0" fontId="3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6" fillId="0" fontId="1" numFmtId="4" xfId="0" applyBorder="1" applyFont="1" applyNumberFormat="1"/>
    <xf borderId="6" fillId="2" fontId="4" numFmtId="4" xfId="0" applyAlignment="1" applyBorder="1" applyFont="1" applyNumberFormat="1">
      <alignment horizontal="right" shrinkToFit="0" vertical="bottom" wrapText="0"/>
    </xf>
    <xf borderId="6" fillId="0" fontId="1" numFmtId="0" xfId="0" applyBorder="1" applyFont="1"/>
    <xf borderId="6" fillId="0" fontId="1" numFmtId="4" xfId="0" applyAlignment="1" applyBorder="1" applyFont="1" applyNumberFormat="1">
      <alignment readingOrder="0"/>
    </xf>
    <xf borderId="3" fillId="0" fontId="3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2" fillId="0" fontId="3" numFmtId="0" xfId="0" applyAlignment="1" applyBorder="1" applyFont="1">
      <alignment readingOrder="0" vertical="bottom"/>
    </xf>
    <xf borderId="3" fillId="4" fontId="1" numFmtId="4" xfId="0" applyAlignment="1" applyBorder="1" applyFill="1" applyFont="1" applyNumberFormat="1">
      <alignment readingOrder="0"/>
    </xf>
    <xf borderId="0" fillId="0" fontId="1" numFmtId="0" xfId="0" applyAlignment="1" applyFont="1">
      <alignment readingOrder="0"/>
    </xf>
    <xf borderId="2" fillId="0" fontId="1" numFmtId="4" xfId="0" applyAlignment="1" applyBorder="1" applyFont="1" applyNumberFormat="1">
      <alignment readingOrder="0"/>
    </xf>
    <xf borderId="2" fillId="2" fontId="4" numFmtId="4" xfId="0" applyAlignment="1" applyBorder="1" applyFont="1" applyNumberFormat="1">
      <alignment horizontal="right" shrinkToFit="0" vertical="bottom" wrapText="0"/>
    </xf>
    <xf borderId="2" fillId="0" fontId="1" numFmtId="0" xfId="0" applyBorder="1" applyFont="1"/>
    <xf borderId="2" fillId="4" fontId="1" numFmtId="4" xfId="0" applyAlignment="1" applyBorder="1" applyFont="1" applyNumberFormat="1">
      <alignment readingOrder="0"/>
    </xf>
    <xf borderId="5" fillId="0" fontId="1" numFmtId="4" xfId="0" applyBorder="1" applyFont="1" applyNumberFormat="1"/>
    <xf borderId="5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2" fillId="0" fontId="1" numFmtId="4" xfId="0" applyBorder="1" applyFont="1" applyNumberFormat="1"/>
    <xf borderId="6" fillId="0" fontId="2" numFmtId="0" xfId="0" applyAlignment="1" applyBorder="1" applyFont="1">
      <alignment horizontal="right" vertical="center"/>
    </xf>
    <xf borderId="7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readingOrder="0" vertical="bottom"/>
    </xf>
    <xf borderId="2" fillId="5" fontId="2" numFmtId="0" xfId="0" applyAlignment="1" applyBorder="1" applyFill="1" applyFont="1">
      <alignment horizontal="right" vertical="center"/>
    </xf>
    <xf borderId="2" fillId="5" fontId="3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2" fillId="5" fontId="2" numFmtId="0" xfId="0" applyAlignment="1" applyBorder="1" applyFont="1">
      <alignment horizontal="right" readingOrder="0" vertical="bottom"/>
    </xf>
    <xf borderId="2" fillId="5" fontId="1" numFmtId="4" xfId="0" applyAlignment="1" applyBorder="1" applyFont="1" applyNumberFormat="1">
      <alignment readingOrder="0"/>
    </xf>
    <xf borderId="2" fillId="5" fontId="4" numFmtId="4" xfId="0" applyAlignment="1" applyBorder="1" applyFont="1" applyNumberFormat="1">
      <alignment horizontal="right" shrinkToFit="0" vertical="bottom" wrapText="0"/>
    </xf>
    <xf borderId="2" fillId="5" fontId="1" numFmtId="0" xfId="0" applyBorder="1" applyFont="1"/>
    <xf borderId="2" fillId="5" fontId="1" numFmtId="4" xfId="0" applyBorder="1" applyFont="1" applyNumberFormat="1"/>
    <xf borderId="0" fillId="5" fontId="1" numFmtId="0" xfId="0" applyFont="1"/>
    <xf borderId="0" fillId="5" fontId="1" numFmtId="4" xfId="0" applyFont="1" applyNumberFormat="1"/>
    <xf borderId="2" fillId="0" fontId="6" numFmtId="0" xfId="0" applyAlignment="1" applyBorder="1" applyFont="1">
      <alignment vertical="bottom"/>
    </xf>
    <xf borderId="4" fillId="0" fontId="1" numFmtId="4" xfId="0" applyAlignment="1" applyBorder="1" applyFont="1" applyNumberFormat="1">
      <alignment readingOrder="0"/>
    </xf>
    <xf borderId="4" fillId="2" fontId="4" numFmtId="4" xfId="0" applyAlignment="1" applyBorder="1" applyFont="1" applyNumberFormat="1">
      <alignment horizontal="right" shrinkToFit="0" vertical="bottom" wrapText="0"/>
    </xf>
    <xf borderId="4" fillId="0" fontId="1" numFmtId="0" xfId="0" applyBorder="1" applyFont="1"/>
    <xf borderId="4" fillId="0" fontId="3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right" readingOrder="0" vertical="bottom"/>
    </xf>
    <xf borderId="9" fillId="0" fontId="3" numFmtId="0" xfId="0" applyAlignment="1" applyBorder="1" applyFont="1">
      <alignment readingOrder="0" vertical="bottom"/>
    </xf>
    <xf borderId="5" fillId="6" fontId="1" numFmtId="4" xfId="0" applyAlignment="1" applyBorder="1" applyFill="1" applyFont="1" applyNumberFormat="1">
      <alignment readingOrder="0"/>
    </xf>
    <xf borderId="10" fillId="0" fontId="1" numFmtId="4" xfId="0" applyBorder="1" applyFont="1" applyNumberFormat="1"/>
    <xf borderId="4" fillId="0" fontId="1" numFmtId="4" xfId="0" applyBorder="1" applyFont="1" applyNumberFormat="1"/>
    <xf borderId="4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center"/>
    </xf>
    <xf borderId="0" fillId="7" fontId="1" numFmtId="0" xfId="0" applyAlignment="1" applyFill="1" applyFont="1">
      <alignment readingOrder="0"/>
    </xf>
    <xf borderId="3" fillId="6" fontId="1" numFmtId="4" xfId="0" applyAlignment="1" applyBorder="1" applyFont="1" applyNumberFormat="1">
      <alignment readingOrder="0"/>
    </xf>
    <xf borderId="5" fillId="0" fontId="6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right" vertical="center"/>
    </xf>
    <xf borderId="11" fillId="0" fontId="3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right" vertical="bottom"/>
    </xf>
    <xf borderId="11" fillId="0" fontId="1" numFmtId="4" xfId="0" applyBorder="1" applyFont="1" applyNumberFormat="1"/>
    <xf borderId="11" fillId="2" fontId="4" numFmtId="4" xfId="0" applyAlignment="1" applyBorder="1" applyFont="1" applyNumberFormat="1">
      <alignment horizontal="right" shrinkToFit="0" vertical="bottom" wrapText="0"/>
    </xf>
    <xf borderId="11" fillId="0" fontId="1" numFmtId="0" xfId="0" applyBorder="1" applyFont="1"/>
    <xf borderId="4" fillId="0" fontId="2" numFmtId="0" xfId="0" applyAlignment="1" applyBorder="1" applyFont="1">
      <alignment horizontal="right" readingOrder="0" vertical="center"/>
    </xf>
    <xf borderId="11" fillId="0" fontId="5" numFmtId="0" xfId="0" applyBorder="1" applyFont="1"/>
    <xf borderId="12" fillId="0" fontId="3" numFmtId="0" xfId="0" applyAlignment="1" applyBorder="1" applyFont="1">
      <alignment readingOrder="0" vertical="bottom"/>
    </xf>
    <xf borderId="12" fillId="0" fontId="2" numFmtId="0" xfId="0" applyAlignment="1" applyBorder="1" applyFont="1">
      <alignment readingOrder="0" vertical="bottom"/>
    </xf>
    <xf borderId="12" fillId="0" fontId="2" numFmtId="0" xfId="0" applyAlignment="1" applyBorder="1" applyFont="1">
      <alignment horizontal="right" readingOrder="0" vertical="bottom"/>
    </xf>
    <xf borderId="12" fillId="0" fontId="1" numFmtId="4" xfId="0" applyBorder="1" applyFont="1" applyNumberFormat="1"/>
    <xf borderId="12" fillId="0" fontId="1" numFmtId="0" xfId="0" applyBorder="1" applyFont="1"/>
    <xf borderId="13" fillId="0" fontId="2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4" fillId="8" fontId="3" numFmtId="0" xfId="0" applyAlignment="1" applyBorder="1" applyFill="1" applyFont="1">
      <alignment vertical="bottom"/>
    </xf>
    <xf borderId="1" fillId="8" fontId="3" numFmtId="0" xfId="0" applyAlignment="1" applyBorder="1" applyFont="1">
      <alignment vertical="bottom"/>
    </xf>
    <xf borderId="2" fillId="8" fontId="3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readingOrder="0" vertical="center"/>
    </xf>
    <xf borderId="2" fillId="6" fontId="1" numFmtId="4" xfId="0" applyAlignment="1" applyBorder="1" applyFont="1" applyNumberFormat="1">
      <alignment readingOrder="0"/>
    </xf>
    <xf borderId="5" fillId="8" fontId="3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5" fillId="9" fontId="3" numFmtId="0" xfId="0" applyAlignment="1" applyBorder="1" applyFill="1" applyFont="1">
      <alignment vertical="bottom"/>
    </xf>
    <xf borderId="2" fillId="9" fontId="3" numFmtId="0" xfId="0" applyAlignment="1" applyBorder="1" applyFont="1">
      <alignment vertical="bottom"/>
    </xf>
    <xf borderId="6" fillId="9" fontId="3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3" fillId="9" fontId="3" numFmtId="0" xfId="0" applyAlignment="1" applyBorder="1" applyFont="1">
      <alignment vertical="bottom"/>
    </xf>
    <xf borderId="6" fillId="0" fontId="2" numFmtId="0" xfId="0" applyAlignment="1" applyBorder="1" applyFont="1">
      <alignment horizontal="right" readingOrder="0" vertical="center"/>
    </xf>
    <xf borderId="4" fillId="9" fontId="3" numFmtId="0" xfId="0" applyAlignment="1" applyBorder="1" applyFont="1">
      <alignment readingOrder="0" vertical="bottom"/>
    </xf>
    <xf borderId="6" fillId="9" fontId="3" numFmtId="0" xfId="0" applyAlignment="1" applyBorder="1" applyFont="1">
      <alignment readingOrder="0" vertical="bottom"/>
    </xf>
    <xf borderId="3" fillId="9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1" fillId="10" fontId="3" numFmtId="0" xfId="0" applyAlignment="1" applyBorder="1" applyFill="1" applyFont="1">
      <alignment vertical="bottom"/>
    </xf>
    <xf borderId="1" fillId="10" fontId="2" numFmtId="0" xfId="0" applyAlignment="1" applyBorder="1" applyFont="1">
      <alignment vertical="bottom"/>
    </xf>
    <xf borderId="1" fillId="10" fontId="2" numFmtId="0" xfId="0" applyAlignment="1" applyBorder="1" applyFont="1">
      <alignment horizontal="right" vertical="bottom"/>
    </xf>
    <xf borderId="1" fillId="10" fontId="1" numFmtId="4" xfId="0" applyAlignment="1" applyBorder="1" applyFont="1" applyNumberFormat="1">
      <alignment readingOrder="0"/>
    </xf>
    <xf borderId="1" fillId="10" fontId="4" numFmtId="4" xfId="0" applyAlignment="1" applyBorder="1" applyFont="1" applyNumberFormat="1">
      <alignment horizontal="right" shrinkToFit="0" vertical="bottom" wrapText="0"/>
    </xf>
    <xf borderId="1" fillId="10" fontId="1" numFmtId="0" xfId="0" applyBorder="1" applyFont="1"/>
    <xf borderId="0" fillId="10" fontId="1" numFmtId="0" xfId="0" applyFont="1"/>
    <xf borderId="1" fillId="10" fontId="1" numFmtId="4" xfId="0" applyBorder="1" applyFont="1" applyNumberFormat="1"/>
    <xf borderId="0" fillId="10" fontId="1" numFmtId="0" xfId="0" applyAlignment="1" applyFont="1">
      <alignment readingOrder="0"/>
    </xf>
    <xf borderId="15" fillId="0" fontId="2" numFmtId="0" xfId="0" applyAlignment="1" applyBorder="1" applyFont="1">
      <alignment horizontal="right" readingOrder="0" vertical="center"/>
    </xf>
    <xf borderId="15" fillId="0" fontId="5" numFmtId="0" xfId="0" applyBorder="1" applyFont="1"/>
    <xf borderId="14" fillId="0" fontId="5" numFmtId="0" xfId="0" applyBorder="1" applyFont="1"/>
    <xf borderId="3" fillId="0" fontId="7" numFmtId="0" xfId="0" applyBorder="1" applyFont="1"/>
    <xf borderId="16" fillId="0" fontId="8" numFmtId="0" xfId="0" applyAlignment="1" applyBorder="1" applyFont="1">
      <alignment horizontal="center" readingOrder="0"/>
    </xf>
    <xf borderId="17" fillId="0" fontId="1" numFmtId="0" xfId="0" applyBorder="1" applyFont="1"/>
    <xf borderId="1" fillId="0" fontId="8" numFmtId="0" xfId="0" applyAlignment="1" applyBorder="1" applyFont="1">
      <alignment readingOrder="0"/>
    </xf>
    <xf borderId="4" fillId="0" fontId="6" numFmtId="0" xfId="0" applyBorder="1" applyFont="1"/>
    <xf borderId="4" fillId="2" fontId="4" numFmtId="4" xfId="0" applyAlignment="1" applyBorder="1" applyFont="1" applyNumberFormat="1">
      <alignment horizontal="right" readingOrder="0" shrinkToFit="0" vertical="bottom" wrapText="0"/>
    </xf>
    <xf borderId="4" fillId="2" fontId="4" numFmtId="4" xfId="0" applyAlignment="1" applyBorder="1" applyFont="1" applyNumberFormat="1">
      <alignment horizontal="right" shrinkToFit="0" vertical="bottom" wrapText="0"/>
    </xf>
    <xf borderId="10" fillId="0" fontId="1" numFmtId="4" xfId="0" applyAlignment="1" applyBorder="1" applyFont="1" applyNumberFormat="1">
      <alignment readingOrder="0"/>
    </xf>
    <xf borderId="18" fillId="0" fontId="5" numFmtId="0" xfId="0" applyBorder="1" applyFont="1"/>
    <xf borderId="10" fillId="0" fontId="1" numFmtId="0" xfId="0" applyAlignment="1" applyBorder="1" applyFont="1">
      <alignment readingOrder="0"/>
    </xf>
    <xf borderId="10" fillId="0" fontId="5" numFmtId="0" xfId="0" applyBorder="1" applyFont="1"/>
    <xf borderId="4" fillId="0" fontId="6" numFmtId="0" xfId="0" applyAlignment="1" applyBorder="1" applyFont="1">
      <alignment readingOrder="0"/>
    </xf>
    <xf borderId="10" fillId="0" fontId="2" numFmtId="4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horizontal="right" readingOrder="0" shrinkToFit="0" vertical="bottom" wrapText="0"/>
    </xf>
    <xf borderId="6" fillId="0" fontId="4" numFmtId="4" xfId="0" applyAlignment="1" applyBorder="1" applyFont="1" applyNumberFormat="1">
      <alignment horizontal="right" readingOrder="0" shrinkToFit="0" vertical="bottom" wrapText="0"/>
    </xf>
    <xf borderId="19" fillId="0" fontId="1" numFmtId="4" xfId="0" applyAlignment="1" applyBorder="1" applyFont="1" applyNumberFormat="1">
      <alignment readingOrder="0"/>
    </xf>
    <xf borderId="1" fillId="0" fontId="4" numFmtId="4" xfId="0" applyAlignment="1" applyBorder="1" applyFont="1" applyNumberFormat="1">
      <alignment horizontal="right" readingOrder="0" shrinkToFit="0" vertical="bottom" wrapText="0"/>
    </xf>
    <xf borderId="2" fillId="0" fontId="4" numFmtId="4" xfId="0" applyAlignment="1" applyBorder="1" applyFont="1" applyNumberFormat="1">
      <alignment horizontal="right" readingOrder="0" shrinkToFit="0" vertical="bottom" wrapText="0"/>
    </xf>
    <xf borderId="2" fillId="0" fontId="6" numFmtId="0" xfId="0" applyAlignment="1" applyBorder="1" applyFont="1">
      <alignment readingOrder="0" vertical="bottom"/>
    </xf>
    <xf borderId="5" fillId="3" fontId="1" numFmtId="4" xfId="0" applyAlignment="1" applyBorder="1" applyFont="1" applyNumberFormat="1">
      <alignment readingOrder="0"/>
    </xf>
    <xf borderId="0" fillId="0" fontId="1" numFmtId="0" xfId="0" applyFont="1"/>
    <xf borderId="1" fillId="3" fontId="1" numFmtId="4" xfId="0" applyAlignment="1" applyBorder="1" applyFont="1" applyNumberFormat="1">
      <alignment readingOrder="0"/>
    </xf>
    <xf borderId="3" fillId="3" fontId="1" numFmtId="4" xfId="0" applyAlignment="1" applyBorder="1" applyFont="1" applyNumberFormat="1">
      <alignment readingOrder="0"/>
    </xf>
    <xf borderId="4" fillId="11" fontId="6" numFmtId="0" xfId="0" applyAlignment="1" applyBorder="1" applyFill="1" applyFont="1">
      <alignment vertical="bottom"/>
    </xf>
    <xf borderId="4" fillId="12" fontId="6" numFmtId="0" xfId="0" applyAlignment="1" applyBorder="1" applyFill="1" applyFont="1">
      <alignment vertical="bottom"/>
    </xf>
    <xf borderId="3" fillId="0" fontId="9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readingOrder="0" vertical="bottom"/>
    </xf>
    <xf borderId="3" fillId="0" fontId="8" numFmtId="4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4" fillId="13" fontId="6" numFmtId="0" xfId="0" applyBorder="1" applyFill="1" applyFont="1"/>
    <xf borderId="5" fillId="0" fontId="10" numFmtId="0" xfId="0" applyAlignment="1" applyBorder="1" applyFont="1">
      <alignment vertical="bottom"/>
    </xf>
    <xf borderId="5" fillId="0" fontId="10" numFmtId="0" xfId="0" applyAlignment="1" applyBorder="1" applyFont="1">
      <alignment horizontal="right" vertical="bottom"/>
    </xf>
    <xf borderId="5" fillId="0" fontId="10" numFmtId="0" xfId="0" applyAlignment="1" applyBorder="1" applyFont="1">
      <alignment horizontal="right" readingOrder="0" vertical="bottom"/>
    </xf>
    <xf borderId="6" fillId="2" fontId="4" numFmtId="4" xfId="0" applyAlignment="1" applyBorder="1" applyFont="1" applyNumberFormat="1">
      <alignment horizontal="right" shrinkToFit="0" vertical="bottom" wrapText="0"/>
    </xf>
    <xf borderId="0" fillId="2" fontId="4" numFmtId="4" xfId="0" applyAlignment="1" applyFont="1" applyNumberFormat="1">
      <alignment horizontal="right" shrinkToFit="0" vertical="bottom" wrapText="0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right" readingOrder="0" vertical="bottom"/>
    </xf>
    <xf borderId="3" fillId="0" fontId="10" numFmtId="0" xfId="0" applyAlignment="1" applyBorder="1" applyFont="1">
      <alignment vertical="bottom"/>
    </xf>
    <xf borderId="3" fillId="0" fontId="10" numFmtId="0" xfId="0" applyAlignment="1" applyBorder="1" applyFont="1">
      <alignment horizontal="right" vertical="bottom"/>
    </xf>
    <xf borderId="3" fillId="0" fontId="10" numFmtId="0" xfId="0" applyAlignment="1" applyBorder="1" applyFont="1">
      <alignment horizontal="right" readingOrder="0" vertical="bottom"/>
    </xf>
    <xf borderId="4" fillId="7" fontId="1" numFmtId="4" xfId="0" applyAlignment="1" applyBorder="1" applyFont="1" applyNumberFormat="1">
      <alignment readingOrder="0"/>
    </xf>
    <xf borderId="5" fillId="0" fontId="10" numFmtId="0" xfId="0" applyAlignment="1" applyBorder="1" applyFont="1">
      <alignment readingOrder="0" vertical="bottom"/>
    </xf>
    <xf borderId="1" fillId="0" fontId="6" numFmtId="4" xfId="0" applyAlignment="1" applyBorder="1" applyFont="1" applyNumberFormat="1">
      <alignment readingOrder="0" vertical="bottom"/>
    </xf>
    <xf borderId="4" fillId="0" fontId="10" numFmtId="0" xfId="0" applyAlignment="1" applyBorder="1" applyFont="1">
      <alignment horizontal="right" readingOrder="0" vertical="bottom"/>
    </xf>
    <xf borderId="6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6" fillId="0" fontId="10" numFmtId="0" xfId="0" applyAlignment="1" applyBorder="1" applyFont="1">
      <alignment horizontal="right" readingOrder="0" vertical="bottom"/>
    </xf>
    <xf borderId="3" fillId="0" fontId="10" numFmtId="0" xfId="0" applyAlignment="1" applyBorder="1" applyFont="1">
      <alignment readingOrder="0" vertical="bottom"/>
    </xf>
    <xf borderId="4" fillId="0" fontId="4" numFmtId="4" xfId="0" applyAlignment="1" applyBorder="1" applyFont="1" applyNumberFormat="1">
      <alignment horizontal="right" shrinkToFit="0" vertical="bottom" wrapText="0"/>
    </xf>
    <xf borderId="10" fillId="7" fontId="1" numFmtId="0" xfId="0" applyAlignment="1" applyBorder="1" applyFont="1">
      <alignment readingOrder="0"/>
    </xf>
    <xf borderId="6" fillId="0" fontId="4" numFmtId="4" xfId="0" applyAlignment="1" applyBorder="1" applyFont="1" applyNumberFormat="1">
      <alignment horizontal="right" shrinkToFit="0" vertical="bottom" wrapText="0"/>
    </xf>
    <xf borderId="2" fillId="0" fontId="4" numFmtId="4" xfId="0" applyAlignment="1" applyBorder="1" applyFont="1" applyNumberFormat="1">
      <alignment horizontal="right" shrinkToFit="0" vertical="bottom" wrapText="0"/>
    </xf>
    <xf borderId="3" fillId="0" fontId="4" numFmtId="4" xfId="0" applyAlignment="1" applyBorder="1" applyFont="1" applyNumberFormat="1">
      <alignment horizontal="right" shrinkToFit="0" vertical="bottom" wrapText="0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3" fillId="0" fontId="6" numFmtId="0" xfId="0" applyAlignment="1" applyBorder="1" applyFont="1">
      <alignment horizontal="right" readingOrder="0" vertical="bottom"/>
    </xf>
    <xf borderId="4" fillId="0" fontId="6" numFmtId="0" xfId="0" applyAlignment="1" applyBorder="1" applyFont="1">
      <alignment readingOrder="0" vertical="bottom"/>
    </xf>
    <xf borderId="5" fillId="0" fontId="10" numFmtId="0" xfId="0" applyAlignment="1" applyBorder="1" applyFont="1">
      <alignment vertical="bottom"/>
    </xf>
    <xf borderId="5" fillId="0" fontId="10" numFmtId="0" xfId="0" applyAlignment="1" applyBorder="1" applyFont="1">
      <alignment horizontal="right" vertical="bottom"/>
    </xf>
    <xf borderId="5" fillId="0" fontId="2" numFmtId="4" xfId="0" applyAlignment="1" applyBorder="1" applyFont="1" applyNumberFormat="1">
      <alignment horizontal="right" vertical="bottom"/>
    </xf>
    <xf borderId="4" fillId="0" fontId="2" numFmtId="4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0" numFmtId="0" xfId="0" applyAlignment="1" applyBorder="1" applyFont="1">
      <alignment horizontal="right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vertical="bottom"/>
    </xf>
    <xf borderId="1" fillId="0" fontId="2" numFmtId="4" xfId="0" applyAlignment="1" applyBorder="1" applyFont="1" applyNumberFormat="1">
      <alignment horizontal="right" vertical="bottom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3" fillId="0" fontId="2" numFmtId="4" xfId="0" applyAlignment="1" applyBorder="1" applyFont="1" applyNumberFormat="1">
      <alignment horizontal="right" vertical="bottom"/>
    </xf>
    <xf borderId="2" fillId="0" fontId="2" numFmtId="4" xfId="0" applyAlignment="1" applyBorder="1" applyFont="1" applyNumberFormat="1">
      <alignment horizontal="right" vertical="bottom"/>
    </xf>
    <xf borderId="2" fillId="2" fontId="4" numFmtId="4" xfId="0" applyAlignment="1" applyBorder="1" applyFont="1" applyNumberFormat="1">
      <alignment horizontal="right" shrinkToFit="0" vertical="bottom" wrapText="0"/>
    </xf>
    <xf borderId="3" fillId="2" fontId="4" numFmtId="4" xfId="0" applyAlignment="1" applyBorder="1" applyFont="1" applyNumberFormat="1">
      <alignment horizontal="right" shrinkToFit="0" vertical="bottom" wrapText="0"/>
    </xf>
    <xf borderId="4" fillId="14" fontId="6" numFmtId="0" xfId="0" applyBorder="1" applyFill="1" applyFont="1"/>
    <xf borderId="5" fillId="14" fontId="6" numFmtId="0" xfId="0" applyAlignment="1" applyBorder="1" applyFont="1">
      <alignment vertical="bottom"/>
    </xf>
    <xf borderId="5" fillId="14" fontId="6" numFmtId="0" xfId="0" applyAlignment="1" applyBorder="1" applyFont="1">
      <alignment horizontal="right" vertical="bottom"/>
    </xf>
    <xf borderId="5" fillId="14" fontId="6" numFmtId="0" xfId="0" applyAlignment="1" applyBorder="1" applyFont="1">
      <alignment horizontal="right" readingOrder="0" vertical="bottom"/>
    </xf>
    <xf borderId="4" fillId="14" fontId="1" numFmtId="4" xfId="0" applyAlignment="1" applyBorder="1" applyFont="1" applyNumberFormat="1">
      <alignment readingOrder="0"/>
    </xf>
    <xf borderId="4" fillId="14" fontId="4" numFmtId="4" xfId="0" applyAlignment="1" applyBorder="1" applyFont="1" applyNumberFormat="1">
      <alignment horizontal="right" shrinkToFit="0" vertical="bottom" wrapText="0"/>
    </xf>
    <xf borderId="10" fillId="14" fontId="1" numFmtId="4" xfId="0" applyAlignment="1" applyBorder="1" applyFont="1" applyNumberFormat="1">
      <alignment readingOrder="0"/>
    </xf>
    <xf borderId="10" fillId="14" fontId="1" numFmtId="4" xfId="0" applyBorder="1" applyFont="1" applyNumberFormat="1"/>
    <xf borderId="10" fillId="14" fontId="1" numFmtId="0" xfId="0" applyAlignment="1" applyBorder="1" applyFont="1">
      <alignment readingOrder="0"/>
    </xf>
    <xf borderId="0" fillId="14" fontId="1" numFmtId="4" xfId="0" applyFont="1" applyNumberFormat="1"/>
    <xf borderId="0" fillId="14" fontId="1" numFmtId="0" xfId="0" applyFont="1"/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right" readingOrder="0" vertical="bottom"/>
    </xf>
    <xf borderId="4" fillId="15" fontId="6" numFmtId="0" xfId="0" applyBorder="1" applyFill="1" applyFont="1"/>
    <xf borderId="5" fillId="9" fontId="1" numFmtId="4" xfId="0" applyAlignment="1" applyBorder="1" applyFont="1" applyNumberFormat="1">
      <alignment readingOrder="0"/>
    </xf>
    <xf borderId="10" fillId="4" fontId="1" numFmtId="0" xfId="0" applyAlignment="1" applyBorder="1" applyFont="1">
      <alignment readingOrder="0"/>
    </xf>
    <xf borderId="6" fillId="0" fontId="6" numFmtId="0" xfId="0" applyAlignment="1" applyBorder="1" applyFont="1">
      <alignment horizontal="right" vertical="bottom"/>
    </xf>
    <xf borderId="6" fillId="7" fontId="1" numFmtId="4" xfId="0" applyAlignment="1" applyBorder="1" applyFont="1" applyNumberFormat="1">
      <alignment readingOrder="0"/>
    </xf>
    <xf borderId="4" fillId="16" fontId="6" numFmtId="0" xfId="0" applyBorder="1" applyFill="1" applyFont="1"/>
    <xf borderId="20" fillId="0" fontId="6" numFmtId="0" xfId="0" applyAlignment="1" applyBorder="1" applyFont="1">
      <alignment horizontal="right" readingOrder="0" vertical="bottom"/>
    </xf>
    <xf borderId="20" fillId="0" fontId="1" numFmtId="4" xfId="0" applyBorder="1" applyFont="1" applyNumberFormat="1"/>
    <xf borderId="19" fillId="0" fontId="2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horizontal="right" readingOrder="0" vertical="bottom"/>
    </xf>
    <xf borderId="21" fillId="0" fontId="2" numFmtId="0" xfId="0" applyAlignment="1" applyBorder="1" applyFont="1">
      <alignment horizontal="right" readingOrder="0" vertical="bottom"/>
    </xf>
    <xf borderId="21" fillId="0" fontId="1" numFmtId="4" xfId="0" applyAlignment="1" applyBorder="1" applyFont="1" applyNumberFormat="1">
      <alignment readingOrder="0"/>
    </xf>
    <xf borderId="16" fillId="0" fontId="2" numFmtId="0" xfId="0" applyAlignment="1" applyBorder="1" applyFont="1">
      <alignment horizontal="right" readingOrder="0" vertical="bottom"/>
    </xf>
    <xf borderId="16" fillId="0" fontId="1" numFmtId="4" xfId="0" applyAlignment="1" applyBorder="1" applyFont="1" applyNumberFormat="1">
      <alignment readingOrder="0"/>
    </xf>
    <xf borderId="6" fillId="0" fontId="6" numFmtId="0" xfId="0" applyAlignment="1" applyBorder="1" applyFont="1">
      <alignment vertical="bottom"/>
    </xf>
    <xf borderId="4" fillId="6" fontId="6" numFmtId="0" xfId="0" applyAlignment="1" applyBorder="1" applyFont="1">
      <alignment readingOrder="0"/>
    </xf>
    <xf borderId="4" fillId="17" fontId="6" numFmtId="0" xfId="0" applyAlignment="1" applyBorder="1" applyFill="1" applyFont="1">
      <alignment readingOrder="0"/>
    </xf>
    <xf borderId="9" fillId="0" fontId="6" numFmtId="0" xfId="0" applyAlignment="1" applyBorder="1" applyFont="1">
      <alignment vertical="bottom"/>
    </xf>
    <xf borderId="4" fillId="18" fontId="6" numFmtId="0" xfId="0" applyAlignment="1" applyBorder="1" applyFill="1" applyFont="1">
      <alignment readingOrder="0"/>
    </xf>
    <xf borderId="4" fillId="0" fontId="4" numFmtId="4" xfId="0" applyAlignment="1" applyBorder="1" applyFont="1" applyNumberFormat="1">
      <alignment horizontal="right" shrinkToFit="0" vertical="bottom" wrapText="0"/>
    </xf>
    <xf borderId="6" fillId="0" fontId="4" numFmtId="4" xfId="0" applyAlignment="1" applyBorder="1" applyFont="1" applyNumberFormat="1">
      <alignment horizontal="right" shrinkToFit="0" vertical="bottom" wrapText="0"/>
    </xf>
    <xf borderId="2" fillId="0" fontId="4" numFmtId="4" xfId="0" applyAlignment="1" applyBorder="1" applyFont="1" applyNumberFormat="1">
      <alignment horizontal="right" shrinkToFit="0" vertical="bottom" wrapText="0"/>
    </xf>
    <xf borderId="3" fillId="0" fontId="4" numFmtId="4" xfId="0" applyAlignment="1" applyBorder="1" applyFont="1" applyNumberFormat="1">
      <alignment horizontal="right" shrinkToFit="0" vertical="bottom" wrapText="0"/>
    </xf>
    <xf borderId="0" fillId="3" fontId="1" numFmtId="4" xfId="0" applyFont="1" applyNumberFormat="1"/>
    <xf borderId="0" fillId="3" fontId="1" numFmtId="0" xfId="0" applyFont="1"/>
    <xf borderId="0" fillId="3" fontId="11" numFmtId="0" xfId="0" applyFont="1"/>
    <xf borderId="0" fillId="3" fontId="11" numFmtId="4" xfId="0" applyFont="1" applyNumberFormat="1"/>
    <xf borderId="0" fillId="3" fontId="11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r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ice-style 2">
      <tableStyleElement dxfId="2" type="firstRowStripe"/>
      <tableStyleElement dxfId="3" type="secondRowStripe"/>
    </tableStyle>
    <tableStyle count="2" pivot="0" name="Menu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Last price vs. VAT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price!$L$1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price!$J$2:$J$207</c:f>
            </c:numRef>
          </c:xVal>
          <c:yVal>
            <c:numRef>
              <c:f>price!$L$2:$L$207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525623"/>
        <c:axId val="1811030817"/>
      </c:scatterChart>
      <c:valAx>
        <c:axId val="7505256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030817"/>
      </c:valAx>
      <c:valAx>
        <c:axId val="1811030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Last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525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800100</xdr:colOff>
      <xdr:row>88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absiramekuria nobel" id="{c17a585c-a723-4641-9d07-84d736134c78}" providerId="google-sheets"/>
  <x18tc:person displayName="Noble House Cocktails" id="{1694c8cc-ad3d-4b67-b35c-181d46ff3711}" providerId="google-sheets"/>
</x18tc:personList>
</file>

<file path=xl/tables/table1.xml><?xml version="1.0" encoding="utf-8"?>
<table xmlns="http://schemas.openxmlformats.org/spreadsheetml/2006/main" headerRowCount="0" ref="B1:L1" displayName="Table2" name="Table2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ri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H2:M2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rice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67:D167" displayName="Table_2" name="Table_2" id="3">
  <tableColumns count="3">
    <tableColumn name="Column1" id="1"/>
    <tableColumn name="Column2" id="2"/>
    <tableColumn name="Column3" id="3"/>
  </tableColumns>
  <tableStyleInfo name="Men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0" dT="2026-04-21T16:23:27.00" personId="{1694c8cc-ad3d-4b67-b35c-181d46ff3711}" id="{6bba7ead-23f5-4232-9f30-329d2d7d8371}" done="0">
    <x18tc:text xml:space="preserve">600</x18tc:text>
  </x18tc:threadedComment>
  <x18tc:threadedComment ref="L177" dT="2026-04-21T16:40:21.00" personId="{1694c8cc-ad3d-4b67-b35c-181d46ff3711}" id="{9462c006-85bf-4304-95df-ba4aa057905e}" done="0">
    <x18tc:text xml:space="preserve">3000</x18tc:text>
  </x18tc:threadedComment>
  <x18tc:threadedComment ref="L89" dT="2026-04-21T16:36:18.00" personId="{1694c8cc-ad3d-4b67-b35c-181d46ff3711}" id="{c190511a-bafa-4466-89f0-e07d64ad583d}" done="0">
    <x18tc:text xml:space="preserve">500</x18tc:text>
  </x18tc:threadedComment>
  <x18tc:threadedComment ref="L174" dT="2026-04-21T16:47:43.00" personId="{1694c8cc-ad3d-4b67-b35c-181d46ff3711}" id="{1c4584f3-2889-421e-b183-3b34d03011a1}" done="0">
    <x18tc:text xml:space="preserve">1200</x18tc:text>
  </x18tc:threadedComment>
  <x18tc:threadedComment ref="L173" dT="2026-04-21T16:39:33.00" personId="{1694c8cc-ad3d-4b67-b35c-181d46ff3711}" id="{e2e998d7-b389-4fea-837d-aa0f08d9f02d}" done="0">
    <x18tc:text xml:space="preserve">400</x18tc:text>
  </x18tc:threadedComment>
  <x18tc:threadedComment ref="L34" dT="2026-04-21T16:26:57.00" personId="{1694c8cc-ad3d-4b67-b35c-181d46ff3711}" id="{6687435e-c549-4138-b32d-deebe6cd92d4}" done="1">
    <x18tc:text xml:space="preserve">total price 3600, 1ml=18birr</x18tc:text>
  </x18tc:threadedComment>
  <x18tc:threadedComment ref="L109" dT="2026-04-21T16:37:27.00" personId="{1694c8cc-ad3d-4b67-b35c-181d46ff3711}" id="{e3442760-bbbe-40e3-9ba0-f5952f769197}" done="0">
    <x18tc:text xml:space="preserve">600</x18tc:text>
  </x18tc:threadedComment>
  <x18tc:threadedComment ref="L21" dT="2026-04-21T16:23:45.00" personId="{1694c8cc-ad3d-4b67-b35c-181d46ff3711}" id="{2dd9f1e2-7f09-46b6-a85a-90256e7a8517}" done="0">
    <x18tc:text xml:space="preserve">100</x18tc:text>
  </x18tc:threadedComment>
  <x18tc:threadedComment ref="L175" dT="2026-04-21T16:40:44.00" personId="{1694c8cc-ad3d-4b67-b35c-181d46ff3711}" id="{7313cb6a-2f98-498f-b279-b93d386d069f}" done="0">
    <x18tc:text xml:space="preserve">2700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9" dT="2026-04-21T16:04:23.00" personId="{1694c8cc-ad3d-4b67-b35c-181d46ff3711}" id="{97e543e7-69a2-42ec-a97d-f35a481b3076}" done="1">
    <x18tc:text xml:space="preserve">3</x18tc:text>
  </x18tc:threadedComment>
  <x18tc:threadedComment ref="F89" dT="2026-04-21T16:03:50.00" personId="{1694c8cc-ad3d-4b67-b35c-181d46ff3711}" id="{88cfdb03-e85f-496f-9444-ce932b3ab24a}" done="1">
    <x18tc:text xml:space="preserve">54 birr</x18tc:text>
  </x18tc:threadedComment>
  <x18tc:threadedComment ref="F112" dT="2026-04-29T14:18:57.00" personId="{c17a585c-a723-4641-9d07-84d736134c78}" id="{58ee0155-d328-4a81-bb76-71023221cc63}" done="0">
    <x18tc:text xml:space="preserve">50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30.38"/>
    <col customWidth="1" min="3" max="3" width="22.25"/>
    <col customWidth="1" min="4" max="4" width="12.6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O1" s="8"/>
      <c r="P1" s="8"/>
    </row>
    <row r="2">
      <c r="A2" s="9">
        <v>1.0</v>
      </c>
      <c r="B2" s="10" t="s">
        <v>12</v>
      </c>
      <c r="C2" s="11" t="s">
        <v>12</v>
      </c>
      <c r="D2" s="11" t="s">
        <v>13</v>
      </c>
      <c r="E2" s="12">
        <v>1.0</v>
      </c>
      <c r="F2" s="13">
        <v>78.33</v>
      </c>
      <c r="G2" s="14">
        <f t="shared" ref="G2:G207" si="1">F2*25%+F2</f>
        <v>97.9125</v>
      </c>
      <c r="H2" s="14">
        <f t="shared" ref="H2:H207" si="2">G2*30%+G2</f>
        <v>127.28625</v>
      </c>
      <c r="I2" s="14">
        <f t="shared" ref="I2:I207" si="3">H2*5%+H2</f>
        <v>133.6505625</v>
      </c>
      <c r="J2" s="14">
        <f t="shared" ref="J2:J207" si="4">I2*15%+I2</f>
        <v>153.6981469</v>
      </c>
      <c r="K2" s="15">
        <v>200.0</v>
      </c>
      <c r="L2" s="16">
        <v>200.0</v>
      </c>
      <c r="M2" s="17"/>
      <c r="O2" s="8"/>
      <c r="P2" s="8"/>
    </row>
    <row r="3">
      <c r="A3" s="18">
        <v>2.0</v>
      </c>
      <c r="B3" s="19" t="s">
        <v>14</v>
      </c>
      <c r="C3" s="20" t="s">
        <v>15</v>
      </c>
      <c r="D3" s="20" t="s">
        <v>16</v>
      </c>
      <c r="E3" s="21">
        <v>1000.0</v>
      </c>
      <c r="F3" s="22">
        <f>6000*1.15</f>
        <v>6900</v>
      </c>
      <c r="G3" s="23">
        <f t="shared" si="1"/>
        <v>8625</v>
      </c>
      <c r="H3" s="23">
        <f t="shared" si="2"/>
        <v>11212.5</v>
      </c>
      <c r="I3" s="23">
        <f t="shared" si="3"/>
        <v>11773.125</v>
      </c>
      <c r="J3" s="23">
        <f t="shared" si="4"/>
        <v>13539.09375</v>
      </c>
      <c r="K3" s="24"/>
      <c r="L3" s="22">
        <v>15000.0</v>
      </c>
      <c r="O3" s="8"/>
      <c r="P3" s="8"/>
    </row>
    <row r="4">
      <c r="A4" s="25"/>
      <c r="B4" s="26" t="s">
        <v>17</v>
      </c>
      <c r="C4" s="27" t="s">
        <v>15</v>
      </c>
      <c r="D4" s="27" t="s">
        <v>16</v>
      </c>
      <c r="E4" s="28">
        <v>500.0</v>
      </c>
      <c r="F4" s="29">
        <f>F3/2</f>
        <v>3450</v>
      </c>
      <c r="G4" s="30">
        <f t="shared" si="1"/>
        <v>4312.5</v>
      </c>
      <c r="H4" s="30">
        <f t="shared" si="2"/>
        <v>5606.25</v>
      </c>
      <c r="I4" s="30">
        <f t="shared" si="3"/>
        <v>5886.5625</v>
      </c>
      <c r="J4" s="30">
        <f t="shared" si="4"/>
        <v>6769.546875</v>
      </c>
      <c r="K4" s="31"/>
      <c r="L4" s="32">
        <v>8500.0</v>
      </c>
      <c r="O4" s="8"/>
      <c r="P4" s="8"/>
    </row>
    <row r="5">
      <c r="A5" s="33"/>
      <c r="B5" s="34" t="s">
        <v>18</v>
      </c>
      <c r="C5" s="35" t="s">
        <v>15</v>
      </c>
      <c r="D5" s="35" t="s">
        <v>16</v>
      </c>
      <c r="E5" s="36">
        <v>30.0</v>
      </c>
      <c r="F5" s="37">
        <f>F3/32</f>
        <v>215.625</v>
      </c>
      <c r="G5" s="14">
        <f t="shared" si="1"/>
        <v>269.53125</v>
      </c>
      <c r="H5" s="14">
        <f t="shared" si="2"/>
        <v>350.390625</v>
      </c>
      <c r="I5" s="14">
        <f t="shared" si="3"/>
        <v>367.9101563</v>
      </c>
      <c r="J5" s="14">
        <f t="shared" si="4"/>
        <v>423.0966797</v>
      </c>
      <c r="K5" s="38"/>
      <c r="L5" s="13">
        <v>500.0</v>
      </c>
      <c r="O5" s="8"/>
      <c r="P5" s="8"/>
    </row>
    <row r="6">
      <c r="A6" s="18">
        <v>3.0</v>
      </c>
      <c r="B6" s="19" t="s">
        <v>19</v>
      </c>
      <c r="C6" s="20" t="s">
        <v>20</v>
      </c>
      <c r="D6" s="20" t="s">
        <v>16</v>
      </c>
      <c r="E6" s="21">
        <v>750.0</v>
      </c>
      <c r="F6" s="22">
        <v>1029.99</v>
      </c>
      <c r="G6" s="23">
        <f t="shared" si="1"/>
        <v>1287.4875</v>
      </c>
      <c r="H6" s="23">
        <f t="shared" si="2"/>
        <v>1673.73375</v>
      </c>
      <c r="I6" s="23">
        <f t="shared" si="3"/>
        <v>1757.420438</v>
      </c>
      <c r="J6" s="23">
        <f t="shared" si="4"/>
        <v>2021.033503</v>
      </c>
      <c r="K6" s="24"/>
      <c r="L6" s="22">
        <v>2500.0</v>
      </c>
      <c r="O6" s="8"/>
      <c r="P6" s="8"/>
    </row>
    <row r="7">
      <c r="A7" s="25"/>
      <c r="B7" s="39" t="s">
        <v>21</v>
      </c>
      <c r="C7" s="40" t="s">
        <v>20</v>
      </c>
      <c r="D7" s="40" t="s">
        <v>16</v>
      </c>
      <c r="E7" s="41">
        <v>187.5</v>
      </c>
      <c r="F7" s="42">
        <f>F6/4</f>
        <v>257.4975</v>
      </c>
      <c r="G7" s="43">
        <f t="shared" si="1"/>
        <v>321.871875</v>
      </c>
      <c r="H7" s="43">
        <f t="shared" si="2"/>
        <v>418.4334375</v>
      </c>
      <c r="I7" s="43">
        <f t="shared" si="3"/>
        <v>439.3551094</v>
      </c>
      <c r="J7" s="43">
        <f t="shared" si="4"/>
        <v>505.2583758</v>
      </c>
      <c r="K7" s="44"/>
      <c r="L7" s="45">
        <v>700.0</v>
      </c>
      <c r="O7" s="8"/>
      <c r="P7" s="8"/>
    </row>
    <row r="8">
      <c r="A8" s="33"/>
      <c r="B8" s="46" t="s">
        <v>22</v>
      </c>
      <c r="C8" s="47" t="s">
        <v>20</v>
      </c>
      <c r="D8" s="47" t="s">
        <v>16</v>
      </c>
      <c r="E8" s="36">
        <f>E6/25</f>
        <v>30</v>
      </c>
      <c r="F8" s="37">
        <f>F6/24</f>
        <v>42.91625</v>
      </c>
      <c r="G8" s="14">
        <f t="shared" si="1"/>
        <v>53.6453125</v>
      </c>
      <c r="H8" s="14">
        <f t="shared" si="2"/>
        <v>69.73890625</v>
      </c>
      <c r="I8" s="14">
        <f t="shared" si="3"/>
        <v>73.22585156</v>
      </c>
      <c r="J8" s="14">
        <f t="shared" si="4"/>
        <v>84.2097293</v>
      </c>
      <c r="K8" s="38"/>
      <c r="L8" s="13">
        <v>100.0</v>
      </c>
      <c r="O8" s="8"/>
      <c r="P8" s="8"/>
    </row>
    <row r="9">
      <c r="A9" s="18">
        <v>4.0</v>
      </c>
      <c r="B9" s="19" t="s">
        <v>23</v>
      </c>
      <c r="C9" s="20" t="s">
        <v>24</v>
      </c>
      <c r="D9" s="20" t="s">
        <v>16</v>
      </c>
      <c r="E9" s="21">
        <v>750.0</v>
      </c>
      <c r="F9" s="22">
        <v>1029.99</v>
      </c>
      <c r="G9" s="23">
        <f t="shared" si="1"/>
        <v>1287.4875</v>
      </c>
      <c r="H9" s="23">
        <f t="shared" si="2"/>
        <v>1673.73375</v>
      </c>
      <c r="I9" s="23">
        <f t="shared" si="3"/>
        <v>1757.420438</v>
      </c>
      <c r="J9" s="23">
        <f t="shared" si="4"/>
        <v>2021.033503</v>
      </c>
      <c r="K9" s="24"/>
      <c r="L9" s="22">
        <v>2500.0</v>
      </c>
      <c r="O9" s="8"/>
      <c r="P9" s="8"/>
    </row>
    <row r="10">
      <c r="A10" s="25"/>
      <c r="B10" s="39" t="s">
        <v>25</v>
      </c>
      <c r="C10" s="40" t="s">
        <v>24</v>
      </c>
      <c r="D10" s="40" t="s">
        <v>16</v>
      </c>
      <c r="E10" s="41">
        <v>187.5</v>
      </c>
      <c r="F10" s="42">
        <f>F9/4</f>
        <v>257.4975</v>
      </c>
      <c r="G10" s="43">
        <f t="shared" si="1"/>
        <v>321.871875</v>
      </c>
      <c r="H10" s="43">
        <f t="shared" si="2"/>
        <v>418.4334375</v>
      </c>
      <c r="I10" s="43">
        <f t="shared" si="3"/>
        <v>439.3551094</v>
      </c>
      <c r="J10" s="43">
        <f t="shared" si="4"/>
        <v>505.2583758</v>
      </c>
      <c r="K10" s="44"/>
      <c r="L10" s="45">
        <v>700.0</v>
      </c>
      <c r="O10" s="8"/>
      <c r="P10" s="8"/>
    </row>
    <row r="11">
      <c r="A11" s="33"/>
      <c r="B11" s="46" t="s">
        <v>26</v>
      </c>
      <c r="C11" s="47" t="s">
        <v>24</v>
      </c>
      <c r="D11" s="47" t="s">
        <v>16</v>
      </c>
      <c r="E11" s="48">
        <v>30.0</v>
      </c>
      <c r="F11" s="37">
        <f>F9/24</f>
        <v>42.91625</v>
      </c>
      <c r="G11" s="14">
        <f t="shared" si="1"/>
        <v>53.6453125</v>
      </c>
      <c r="H11" s="14">
        <f t="shared" si="2"/>
        <v>69.73890625</v>
      </c>
      <c r="I11" s="14">
        <f t="shared" si="3"/>
        <v>73.22585156</v>
      </c>
      <c r="J11" s="14">
        <f t="shared" si="4"/>
        <v>84.2097293</v>
      </c>
      <c r="K11" s="38"/>
      <c r="L11" s="13">
        <v>100.0</v>
      </c>
      <c r="O11" s="8"/>
      <c r="P11" s="8"/>
    </row>
    <row r="12">
      <c r="A12" s="18">
        <v>5.0</v>
      </c>
      <c r="B12" s="19" t="s">
        <v>27</v>
      </c>
      <c r="C12" s="20" t="s">
        <v>28</v>
      </c>
      <c r="D12" s="20" t="s">
        <v>16</v>
      </c>
      <c r="E12" s="21">
        <v>750.0</v>
      </c>
      <c r="F12" s="22">
        <v>1029.99</v>
      </c>
      <c r="G12" s="23">
        <f t="shared" si="1"/>
        <v>1287.4875</v>
      </c>
      <c r="H12" s="23">
        <f t="shared" si="2"/>
        <v>1673.73375</v>
      </c>
      <c r="I12" s="23">
        <f t="shared" si="3"/>
        <v>1757.420438</v>
      </c>
      <c r="J12" s="23">
        <f t="shared" si="4"/>
        <v>2021.033503</v>
      </c>
      <c r="K12" s="24"/>
      <c r="L12" s="22">
        <v>2500.0</v>
      </c>
      <c r="O12" s="8"/>
      <c r="P12" s="8"/>
    </row>
    <row r="13">
      <c r="A13" s="25"/>
      <c r="B13" s="26" t="s">
        <v>29</v>
      </c>
      <c r="C13" s="49" t="s">
        <v>28</v>
      </c>
      <c r="D13" s="49" t="s">
        <v>16</v>
      </c>
      <c r="E13" s="50">
        <v>187.5</v>
      </c>
      <c r="F13" s="42">
        <f>F12/4</f>
        <v>257.4975</v>
      </c>
      <c r="G13" s="43">
        <f t="shared" si="1"/>
        <v>321.871875</v>
      </c>
      <c r="H13" s="43">
        <f t="shared" si="2"/>
        <v>418.4334375</v>
      </c>
      <c r="I13" s="43">
        <f t="shared" si="3"/>
        <v>439.3551094</v>
      </c>
      <c r="J13" s="43">
        <f t="shared" si="4"/>
        <v>505.2583758</v>
      </c>
      <c r="K13" s="44"/>
      <c r="L13" s="45">
        <v>700.0</v>
      </c>
      <c r="O13" s="8"/>
      <c r="P13" s="8"/>
    </row>
    <row r="14">
      <c r="A14" s="33"/>
      <c r="B14" s="51" t="s">
        <v>30</v>
      </c>
      <c r="C14" s="47" t="s">
        <v>28</v>
      </c>
      <c r="D14" s="47" t="s">
        <v>16</v>
      </c>
      <c r="E14" s="48">
        <v>30.0</v>
      </c>
      <c r="F14" s="37">
        <f>F12/24</f>
        <v>42.91625</v>
      </c>
      <c r="G14" s="14">
        <f t="shared" si="1"/>
        <v>53.6453125</v>
      </c>
      <c r="H14" s="14">
        <f t="shared" si="2"/>
        <v>69.73890625</v>
      </c>
      <c r="I14" s="14">
        <f t="shared" si="3"/>
        <v>73.22585156</v>
      </c>
      <c r="J14" s="14">
        <f t="shared" si="4"/>
        <v>84.2097293</v>
      </c>
      <c r="K14" s="38"/>
      <c r="L14" s="13">
        <v>100.0</v>
      </c>
      <c r="O14" s="8"/>
      <c r="P14" s="8"/>
    </row>
    <row r="15">
      <c r="A15" s="18">
        <v>6.0</v>
      </c>
      <c r="B15" s="19" t="s">
        <v>31</v>
      </c>
      <c r="C15" s="20" t="s">
        <v>32</v>
      </c>
      <c r="D15" s="20" t="s">
        <v>16</v>
      </c>
      <c r="E15" s="21">
        <v>750.0</v>
      </c>
      <c r="F15" s="22">
        <v>1550.0</v>
      </c>
      <c r="G15" s="23">
        <f t="shared" si="1"/>
        <v>1937.5</v>
      </c>
      <c r="H15" s="23">
        <f t="shared" si="2"/>
        <v>2518.75</v>
      </c>
      <c r="I15" s="23">
        <f t="shared" si="3"/>
        <v>2644.6875</v>
      </c>
      <c r="J15" s="23">
        <f t="shared" si="4"/>
        <v>3041.390625</v>
      </c>
      <c r="K15" s="24"/>
      <c r="L15" s="22">
        <v>2700.0</v>
      </c>
      <c r="O15" s="8"/>
      <c r="P15" s="8"/>
    </row>
    <row r="16">
      <c r="A16" s="25"/>
      <c r="B16" s="26" t="s">
        <v>33</v>
      </c>
      <c r="C16" s="27" t="s">
        <v>32</v>
      </c>
      <c r="D16" s="27" t="s">
        <v>16</v>
      </c>
      <c r="E16" s="28">
        <v>187.5</v>
      </c>
      <c r="F16" s="29">
        <f>F15/4</f>
        <v>387.5</v>
      </c>
      <c r="G16" s="30">
        <f t="shared" si="1"/>
        <v>484.375</v>
      </c>
      <c r="H16" s="30">
        <f t="shared" si="2"/>
        <v>629.6875</v>
      </c>
      <c r="I16" s="30">
        <f t="shared" si="3"/>
        <v>661.171875</v>
      </c>
      <c r="J16" s="30">
        <f t="shared" si="4"/>
        <v>760.3476563</v>
      </c>
      <c r="K16" s="31"/>
      <c r="L16" s="32">
        <v>800.0</v>
      </c>
      <c r="O16" s="8"/>
      <c r="P16" s="8"/>
    </row>
    <row r="17">
      <c r="A17" s="33"/>
      <c r="B17" s="46" t="s">
        <v>34</v>
      </c>
      <c r="C17" s="47" t="s">
        <v>32</v>
      </c>
      <c r="D17" s="47" t="s">
        <v>16</v>
      </c>
      <c r="E17" s="48">
        <v>30.0</v>
      </c>
      <c r="F17" s="37">
        <f>F15/24</f>
        <v>64.58333333</v>
      </c>
      <c r="G17" s="14">
        <f t="shared" si="1"/>
        <v>80.72916667</v>
      </c>
      <c r="H17" s="14">
        <f t="shared" si="2"/>
        <v>104.9479167</v>
      </c>
      <c r="I17" s="14">
        <f t="shared" si="3"/>
        <v>110.1953125</v>
      </c>
      <c r="J17" s="14">
        <f t="shared" si="4"/>
        <v>126.7246094</v>
      </c>
      <c r="K17" s="38"/>
      <c r="L17" s="13">
        <v>150.0</v>
      </c>
      <c r="O17" s="8"/>
      <c r="P17" s="8"/>
    </row>
    <row r="18">
      <c r="A18" s="18">
        <v>7.0</v>
      </c>
      <c r="B18" s="19" t="s">
        <v>35</v>
      </c>
      <c r="C18" s="19" t="s">
        <v>36</v>
      </c>
      <c r="D18" s="20" t="s">
        <v>16</v>
      </c>
      <c r="E18" s="21">
        <v>1000.0</v>
      </c>
      <c r="F18" s="22">
        <v>9100.0</v>
      </c>
      <c r="G18" s="23">
        <f t="shared" si="1"/>
        <v>11375</v>
      </c>
      <c r="H18" s="23">
        <f t="shared" si="2"/>
        <v>14787.5</v>
      </c>
      <c r="I18" s="23">
        <f t="shared" si="3"/>
        <v>15526.875</v>
      </c>
      <c r="J18" s="23">
        <f t="shared" si="4"/>
        <v>17855.90625</v>
      </c>
      <c r="K18" s="24"/>
      <c r="L18" s="22">
        <v>18500.0</v>
      </c>
      <c r="O18" s="8"/>
      <c r="P18" s="8"/>
    </row>
    <row r="19">
      <c r="A19" s="25"/>
      <c r="B19" s="26" t="s">
        <v>37</v>
      </c>
      <c r="C19" s="26" t="s">
        <v>36</v>
      </c>
      <c r="D19" s="27" t="s">
        <v>16</v>
      </c>
      <c r="E19" s="28">
        <v>500.0</v>
      </c>
      <c r="F19" s="29">
        <f>F18/2</f>
        <v>4550</v>
      </c>
      <c r="G19" s="30">
        <f t="shared" si="1"/>
        <v>5687.5</v>
      </c>
      <c r="H19" s="30">
        <f t="shared" si="2"/>
        <v>7393.75</v>
      </c>
      <c r="I19" s="30">
        <f t="shared" si="3"/>
        <v>7763.4375</v>
      </c>
      <c r="J19" s="30">
        <f t="shared" si="4"/>
        <v>8927.953125</v>
      </c>
      <c r="K19" s="31"/>
      <c r="L19" s="32">
        <v>10000.0</v>
      </c>
      <c r="O19" s="8"/>
      <c r="P19" s="8"/>
    </row>
    <row r="20">
      <c r="A20" s="33"/>
      <c r="B20" s="34" t="s">
        <v>38</v>
      </c>
      <c r="C20" s="34" t="s">
        <v>36</v>
      </c>
      <c r="D20" s="35" t="s">
        <v>16</v>
      </c>
      <c r="E20" s="36">
        <v>30.0</v>
      </c>
      <c r="F20" s="37">
        <f>F18/32</f>
        <v>284.375</v>
      </c>
      <c r="G20" s="14">
        <f t="shared" si="1"/>
        <v>355.46875</v>
      </c>
      <c r="H20" s="14">
        <f t="shared" si="2"/>
        <v>462.109375</v>
      </c>
      <c r="I20" s="14">
        <f t="shared" si="3"/>
        <v>485.2148438</v>
      </c>
      <c r="J20" s="14">
        <f t="shared" si="4"/>
        <v>557.9970703</v>
      </c>
      <c r="K20" s="38"/>
      <c r="L20" s="52">
        <v>650.0</v>
      </c>
      <c r="M20" s="53">
        <v>600.0</v>
      </c>
      <c r="O20" s="8"/>
      <c r="P20" s="8"/>
    </row>
    <row r="21">
      <c r="A21" s="9">
        <v>8.0</v>
      </c>
      <c r="B21" s="10" t="s">
        <v>39</v>
      </c>
      <c r="C21" s="11" t="s">
        <v>40</v>
      </c>
      <c r="D21" s="11" t="s">
        <v>16</v>
      </c>
      <c r="E21" s="12">
        <v>330.0</v>
      </c>
      <c r="F21" s="54">
        <v>33.33</v>
      </c>
      <c r="G21" s="55">
        <f t="shared" si="1"/>
        <v>41.6625</v>
      </c>
      <c r="H21" s="55">
        <f t="shared" si="2"/>
        <v>54.16125</v>
      </c>
      <c r="I21" s="55">
        <f t="shared" si="3"/>
        <v>56.8693125</v>
      </c>
      <c r="J21" s="55">
        <f t="shared" si="4"/>
        <v>65.39970938</v>
      </c>
      <c r="K21" s="56"/>
      <c r="L21" s="57">
        <v>80.0</v>
      </c>
      <c r="M21" s="53">
        <v>100.0</v>
      </c>
      <c r="O21" s="8"/>
      <c r="P21" s="8"/>
    </row>
    <row r="22">
      <c r="A22" s="18">
        <v>9.0</v>
      </c>
      <c r="B22" s="19" t="s">
        <v>41</v>
      </c>
      <c r="C22" s="19" t="s">
        <v>42</v>
      </c>
      <c r="D22" s="20" t="s">
        <v>16</v>
      </c>
      <c r="E22" s="21">
        <v>1000.0</v>
      </c>
      <c r="F22" s="58"/>
      <c r="G22" s="23">
        <f t="shared" si="1"/>
        <v>0</v>
      </c>
      <c r="H22" s="23">
        <f t="shared" si="2"/>
        <v>0</v>
      </c>
      <c r="I22" s="23">
        <f t="shared" si="3"/>
        <v>0</v>
      </c>
      <c r="J22" s="23">
        <f t="shared" si="4"/>
        <v>0</v>
      </c>
      <c r="K22" s="24"/>
      <c r="L22" s="58"/>
      <c r="O22" s="8"/>
      <c r="P22" s="8"/>
    </row>
    <row r="23">
      <c r="A23" s="33"/>
      <c r="B23" s="10" t="s">
        <v>43</v>
      </c>
      <c r="C23" s="10" t="s">
        <v>42</v>
      </c>
      <c r="D23" s="11" t="s">
        <v>16</v>
      </c>
      <c r="E23" s="12">
        <v>30.0</v>
      </c>
      <c r="F23" s="37"/>
      <c r="G23" s="14">
        <f t="shared" si="1"/>
        <v>0</v>
      </c>
      <c r="H23" s="14">
        <f t="shared" si="2"/>
        <v>0</v>
      </c>
      <c r="I23" s="14">
        <f t="shared" si="3"/>
        <v>0</v>
      </c>
      <c r="J23" s="14">
        <f t="shared" si="4"/>
        <v>0</v>
      </c>
      <c r="K23" s="38"/>
      <c r="L23" s="13">
        <v>1500.0</v>
      </c>
      <c r="O23" s="8"/>
      <c r="P23" s="8"/>
    </row>
    <row r="24">
      <c r="A24" s="18">
        <v>10.0</v>
      </c>
      <c r="B24" s="59" t="s">
        <v>44</v>
      </c>
      <c r="C24" s="19" t="s">
        <v>45</v>
      </c>
      <c r="D24" s="20" t="s">
        <v>16</v>
      </c>
      <c r="E24" s="60">
        <v>1000.0</v>
      </c>
      <c r="F24" s="22">
        <v>6644.7</v>
      </c>
      <c r="G24" s="23">
        <f t="shared" si="1"/>
        <v>8305.875</v>
      </c>
      <c r="H24" s="23">
        <f t="shared" si="2"/>
        <v>10797.6375</v>
      </c>
      <c r="I24" s="23">
        <f t="shared" si="3"/>
        <v>11337.51938</v>
      </c>
      <c r="J24" s="23">
        <f t="shared" si="4"/>
        <v>13038.14728</v>
      </c>
      <c r="K24" s="24"/>
      <c r="L24" s="22">
        <v>14000.0</v>
      </c>
      <c r="O24" s="8"/>
      <c r="P24" s="8"/>
    </row>
    <row r="25">
      <c r="A25" s="25"/>
      <c r="B25" s="61" t="s">
        <v>46</v>
      </c>
      <c r="C25" s="19" t="s">
        <v>45</v>
      </c>
      <c r="D25" s="62" t="s">
        <v>16</v>
      </c>
      <c r="E25" s="63">
        <v>500.0</v>
      </c>
      <c r="F25" s="32">
        <f>F24/2</f>
        <v>3322.35</v>
      </c>
      <c r="G25" s="23">
        <f t="shared" si="1"/>
        <v>4152.9375</v>
      </c>
      <c r="H25" s="23">
        <f t="shared" si="2"/>
        <v>5398.81875</v>
      </c>
      <c r="I25" s="23">
        <f t="shared" si="3"/>
        <v>5668.759688</v>
      </c>
      <c r="J25" s="23">
        <f t="shared" si="4"/>
        <v>6519.073641</v>
      </c>
      <c r="K25" s="31"/>
      <c r="L25" s="32">
        <v>8000.0</v>
      </c>
      <c r="O25" s="8"/>
      <c r="P25" s="8"/>
    </row>
    <row r="26">
      <c r="A26" s="33"/>
      <c r="B26" s="10" t="s">
        <v>47</v>
      </c>
      <c r="C26" s="10" t="s">
        <v>45</v>
      </c>
      <c r="D26" s="64" t="s">
        <v>16</v>
      </c>
      <c r="E26" s="65">
        <v>30.0</v>
      </c>
      <c r="F26" s="54">
        <f>F24/32</f>
        <v>207.646875</v>
      </c>
      <c r="G26" s="55">
        <f t="shared" si="1"/>
        <v>259.5585938</v>
      </c>
      <c r="H26" s="55">
        <f t="shared" si="2"/>
        <v>337.4261719</v>
      </c>
      <c r="I26" s="55">
        <f t="shared" si="3"/>
        <v>354.2974805</v>
      </c>
      <c r="J26" s="55">
        <f t="shared" si="4"/>
        <v>407.4421025</v>
      </c>
      <c r="K26" s="56"/>
      <c r="L26" s="54">
        <v>500.0</v>
      </c>
      <c r="O26" s="8"/>
      <c r="P26" s="8"/>
    </row>
    <row r="27">
      <c r="A27" s="9">
        <v>11.0</v>
      </c>
      <c r="B27" s="10" t="s">
        <v>48</v>
      </c>
      <c r="C27" s="10" t="s">
        <v>48</v>
      </c>
      <c r="D27" s="64" t="s">
        <v>16</v>
      </c>
      <c r="E27" s="64">
        <v>30.0</v>
      </c>
      <c r="F27" s="66"/>
      <c r="G27" s="55">
        <f t="shared" si="1"/>
        <v>0</v>
      </c>
      <c r="H27" s="55">
        <f t="shared" si="2"/>
        <v>0</v>
      </c>
      <c r="I27" s="55">
        <f t="shared" si="3"/>
        <v>0</v>
      </c>
      <c r="J27" s="55">
        <f t="shared" si="4"/>
        <v>0</v>
      </c>
      <c r="K27" s="56"/>
      <c r="L27" s="66"/>
      <c r="O27" s="8"/>
      <c r="P27" s="8"/>
    </row>
    <row r="28">
      <c r="A28" s="18">
        <v>12.0</v>
      </c>
      <c r="B28" s="59" t="s">
        <v>49</v>
      </c>
      <c r="C28" s="19" t="s">
        <v>50</v>
      </c>
      <c r="D28" s="20" t="s">
        <v>16</v>
      </c>
      <c r="E28" s="60">
        <v>1000.0</v>
      </c>
      <c r="F28" s="58"/>
      <c r="G28" s="23">
        <f t="shared" si="1"/>
        <v>0</v>
      </c>
      <c r="H28" s="23">
        <f t="shared" si="2"/>
        <v>0</v>
      </c>
      <c r="I28" s="23">
        <f t="shared" si="3"/>
        <v>0</v>
      </c>
      <c r="J28" s="23">
        <f t="shared" si="4"/>
        <v>0</v>
      </c>
      <c r="K28" s="24"/>
      <c r="L28" s="58"/>
      <c r="O28" s="8"/>
      <c r="P28" s="8"/>
    </row>
    <row r="29">
      <c r="A29" s="25"/>
      <c r="B29" s="61" t="s">
        <v>51</v>
      </c>
      <c r="C29" s="19" t="s">
        <v>50</v>
      </c>
      <c r="D29" s="62" t="s">
        <v>16</v>
      </c>
      <c r="E29" s="63">
        <v>50.0</v>
      </c>
      <c r="F29" s="29"/>
      <c r="G29" s="30">
        <f t="shared" si="1"/>
        <v>0</v>
      </c>
      <c r="H29" s="30">
        <f t="shared" si="2"/>
        <v>0</v>
      </c>
      <c r="I29" s="30">
        <f t="shared" si="3"/>
        <v>0</v>
      </c>
      <c r="J29" s="30">
        <f t="shared" si="4"/>
        <v>0</v>
      </c>
      <c r="K29" s="31"/>
      <c r="L29" s="29"/>
      <c r="O29" s="8"/>
      <c r="P29" s="8"/>
    </row>
    <row r="30">
      <c r="A30" s="33"/>
      <c r="B30" s="46" t="s">
        <v>52</v>
      </c>
      <c r="C30" s="10" t="s">
        <v>50</v>
      </c>
      <c r="D30" s="47" t="s">
        <v>16</v>
      </c>
      <c r="E30" s="48">
        <v>30.0</v>
      </c>
      <c r="F30" s="37"/>
      <c r="G30" s="14">
        <f t="shared" si="1"/>
        <v>0</v>
      </c>
      <c r="H30" s="14">
        <f t="shared" si="2"/>
        <v>0</v>
      </c>
      <c r="I30" s="14">
        <f t="shared" si="3"/>
        <v>0</v>
      </c>
      <c r="J30" s="14">
        <f t="shared" si="4"/>
        <v>0</v>
      </c>
      <c r="K30" s="38"/>
      <c r="L30" s="37"/>
      <c r="O30" s="8"/>
      <c r="P30" s="8"/>
    </row>
    <row r="31">
      <c r="A31" s="67">
        <v>13.0</v>
      </c>
      <c r="B31" s="68" t="s">
        <v>53</v>
      </c>
      <c r="C31" s="19" t="s">
        <v>54</v>
      </c>
      <c r="D31" s="20" t="s">
        <v>16</v>
      </c>
      <c r="E31" s="60">
        <v>1000.0</v>
      </c>
      <c r="F31" s="22">
        <v>4900.0</v>
      </c>
      <c r="G31" s="23">
        <f t="shared" si="1"/>
        <v>6125</v>
      </c>
      <c r="H31" s="23">
        <f t="shared" si="2"/>
        <v>7962.5</v>
      </c>
      <c r="I31" s="23">
        <f t="shared" si="3"/>
        <v>8360.625</v>
      </c>
      <c r="J31" s="23">
        <f t="shared" si="4"/>
        <v>9614.71875</v>
      </c>
      <c r="K31" s="24"/>
      <c r="L31" s="22">
        <v>11000.0</v>
      </c>
      <c r="O31" s="8"/>
      <c r="P31" s="8"/>
    </row>
    <row r="32">
      <c r="A32" s="25"/>
      <c r="B32" s="68" t="s">
        <v>55</v>
      </c>
      <c r="C32" s="61" t="s">
        <v>54</v>
      </c>
      <c r="D32" s="62" t="s">
        <v>16</v>
      </c>
      <c r="E32" s="63">
        <v>500.0</v>
      </c>
      <c r="F32" s="29">
        <f>F31/2</f>
        <v>2450</v>
      </c>
      <c r="G32" s="23">
        <f t="shared" si="1"/>
        <v>3062.5</v>
      </c>
      <c r="H32" s="23">
        <f t="shared" si="2"/>
        <v>3981.25</v>
      </c>
      <c r="I32" s="23">
        <f t="shared" si="3"/>
        <v>4180.3125</v>
      </c>
      <c r="J32" s="23">
        <f t="shared" si="4"/>
        <v>4807.359375</v>
      </c>
      <c r="K32" s="31"/>
      <c r="L32" s="32">
        <v>6500.0</v>
      </c>
      <c r="O32" s="8"/>
      <c r="P32" s="8"/>
    </row>
    <row r="33">
      <c r="A33" s="33"/>
      <c r="B33" s="69" t="s">
        <v>56</v>
      </c>
      <c r="C33" s="46" t="s">
        <v>54</v>
      </c>
      <c r="D33" s="47" t="s">
        <v>16</v>
      </c>
      <c r="E33" s="48">
        <v>30.0</v>
      </c>
      <c r="F33" s="37">
        <f>F31/32</f>
        <v>153.125</v>
      </c>
      <c r="G33" s="14">
        <f t="shared" si="1"/>
        <v>191.40625</v>
      </c>
      <c r="H33" s="14">
        <f t="shared" si="2"/>
        <v>248.828125</v>
      </c>
      <c r="I33" s="14">
        <f t="shared" si="3"/>
        <v>261.2695313</v>
      </c>
      <c r="J33" s="14">
        <f t="shared" si="4"/>
        <v>300.4599609</v>
      </c>
      <c r="K33" s="38"/>
      <c r="L33" s="13">
        <v>450.0</v>
      </c>
      <c r="O33" s="8"/>
      <c r="P33" s="8"/>
    </row>
    <row r="34">
      <c r="A34" s="70">
        <v>14.0</v>
      </c>
      <c r="B34" s="71" t="s">
        <v>57</v>
      </c>
      <c r="C34" s="71" t="s">
        <v>57</v>
      </c>
      <c r="D34" s="72" t="s">
        <v>16</v>
      </c>
      <c r="E34" s="73">
        <v>3.0</v>
      </c>
      <c r="F34" s="74">
        <v>54.0</v>
      </c>
      <c r="G34" s="75">
        <f t="shared" si="1"/>
        <v>67.5</v>
      </c>
      <c r="H34" s="75">
        <f t="shared" si="2"/>
        <v>87.75</v>
      </c>
      <c r="I34" s="75">
        <f t="shared" si="3"/>
        <v>92.1375</v>
      </c>
      <c r="J34" s="75">
        <f t="shared" si="4"/>
        <v>105.958125</v>
      </c>
      <c r="K34" s="76"/>
      <c r="L34" s="77"/>
      <c r="M34" s="78"/>
      <c r="N34" s="78"/>
      <c r="O34" s="79"/>
      <c r="P34" s="79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18">
        <v>15.0</v>
      </c>
      <c r="B35" s="19" t="s">
        <v>58</v>
      </c>
      <c r="C35" s="19" t="s">
        <v>59</v>
      </c>
      <c r="D35" s="20" t="s">
        <v>16</v>
      </c>
      <c r="E35" s="21">
        <v>1000.0</v>
      </c>
      <c r="F35" s="22">
        <f>8608.7*1.15</f>
        <v>9900.005</v>
      </c>
      <c r="G35" s="23">
        <f t="shared" si="1"/>
        <v>12375.00625</v>
      </c>
      <c r="H35" s="23">
        <f t="shared" si="2"/>
        <v>16087.50813</v>
      </c>
      <c r="I35" s="23">
        <f t="shared" si="3"/>
        <v>16891.88353</v>
      </c>
      <c r="J35" s="23">
        <f t="shared" si="4"/>
        <v>19425.66606</v>
      </c>
      <c r="K35" s="24"/>
      <c r="L35" s="22">
        <v>22000.0</v>
      </c>
      <c r="O35" s="8"/>
      <c r="P35" s="8"/>
    </row>
    <row r="36">
      <c r="A36" s="25"/>
      <c r="B36" s="19" t="s">
        <v>60</v>
      </c>
      <c r="C36" s="19" t="s">
        <v>59</v>
      </c>
      <c r="D36" s="20" t="s">
        <v>16</v>
      </c>
      <c r="E36" s="21">
        <v>500.0</v>
      </c>
      <c r="F36" s="29">
        <f>F35/2</f>
        <v>4950.0025</v>
      </c>
      <c r="G36" s="30">
        <f t="shared" si="1"/>
        <v>6187.503125</v>
      </c>
      <c r="H36" s="30">
        <f t="shared" si="2"/>
        <v>8043.754063</v>
      </c>
      <c r="I36" s="30">
        <f t="shared" si="3"/>
        <v>8445.941766</v>
      </c>
      <c r="J36" s="30">
        <f t="shared" si="4"/>
        <v>9712.83303</v>
      </c>
      <c r="K36" s="31"/>
      <c r="L36" s="32">
        <v>11500.0</v>
      </c>
      <c r="O36" s="8"/>
      <c r="P36" s="8"/>
    </row>
    <row r="37">
      <c r="A37" s="33"/>
      <c r="B37" s="10" t="s">
        <v>61</v>
      </c>
      <c r="C37" s="10" t="s">
        <v>59</v>
      </c>
      <c r="D37" s="11" t="s">
        <v>16</v>
      </c>
      <c r="E37" s="12">
        <v>30.0</v>
      </c>
      <c r="F37" s="37">
        <f>F35/32</f>
        <v>309.3751563</v>
      </c>
      <c r="G37" s="14">
        <f t="shared" si="1"/>
        <v>386.7189453</v>
      </c>
      <c r="H37" s="14">
        <f t="shared" si="2"/>
        <v>502.7346289</v>
      </c>
      <c r="I37" s="14">
        <f t="shared" si="3"/>
        <v>527.8713604</v>
      </c>
      <c r="J37" s="14">
        <f t="shared" si="4"/>
        <v>607.0520644</v>
      </c>
      <c r="K37" s="38"/>
      <c r="L37" s="13">
        <v>800.0</v>
      </c>
      <c r="O37" s="8"/>
      <c r="P37" s="8"/>
    </row>
    <row r="38">
      <c r="A38" s="9">
        <v>16.0</v>
      </c>
      <c r="B38" s="80" t="s">
        <v>62</v>
      </c>
      <c r="C38" s="11"/>
      <c r="D38" s="11"/>
      <c r="E38" s="11"/>
      <c r="F38" s="66"/>
      <c r="G38" s="55">
        <f t="shared" si="1"/>
        <v>0</v>
      </c>
      <c r="H38" s="55">
        <f t="shared" si="2"/>
        <v>0</v>
      </c>
      <c r="I38" s="55">
        <f t="shared" si="3"/>
        <v>0</v>
      </c>
      <c r="J38" s="55">
        <f t="shared" si="4"/>
        <v>0</v>
      </c>
      <c r="K38" s="56"/>
      <c r="L38" s="66"/>
      <c r="O38" s="8"/>
      <c r="P38" s="8"/>
    </row>
    <row r="39">
      <c r="A39" s="18">
        <v>17.0</v>
      </c>
      <c r="B39" s="39" t="s">
        <v>63</v>
      </c>
      <c r="C39" s="40" t="s">
        <v>64</v>
      </c>
      <c r="D39" s="40" t="s">
        <v>16</v>
      </c>
      <c r="E39" s="41">
        <v>1000.0</v>
      </c>
      <c r="F39" s="81">
        <v>58000.0</v>
      </c>
      <c r="G39" s="82">
        <f t="shared" si="1"/>
        <v>72500</v>
      </c>
      <c r="H39" s="82">
        <f t="shared" si="2"/>
        <v>94250</v>
      </c>
      <c r="I39" s="82">
        <f t="shared" si="3"/>
        <v>98962.5</v>
      </c>
      <c r="J39" s="82">
        <f t="shared" si="4"/>
        <v>113806.875</v>
      </c>
      <c r="K39" s="83"/>
      <c r="L39" s="81">
        <v>120000.0</v>
      </c>
      <c r="O39" s="8"/>
      <c r="P39" s="8"/>
    </row>
    <row r="40">
      <c r="A40" s="25"/>
      <c r="B40" s="61" t="s">
        <v>65</v>
      </c>
      <c r="C40" s="62" t="s">
        <v>64</v>
      </c>
      <c r="D40" s="62" t="s">
        <v>16</v>
      </c>
      <c r="E40" s="63">
        <v>500.0</v>
      </c>
      <c r="F40" s="32">
        <f>F39/2</f>
        <v>29000</v>
      </c>
      <c r="G40" s="30">
        <f t="shared" si="1"/>
        <v>36250</v>
      </c>
      <c r="H40" s="30">
        <f t="shared" si="2"/>
        <v>47125</v>
      </c>
      <c r="I40" s="30">
        <f t="shared" si="3"/>
        <v>49481.25</v>
      </c>
      <c r="J40" s="30">
        <f t="shared" si="4"/>
        <v>56903.4375</v>
      </c>
      <c r="K40" s="31"/>
      <c r="L40" s="32">
        <v>70000.0</v>
      </c>
      <c r="O40" s="8"/>
      <c r="P40" s="8"/>
    </row>
    <row r="41">
      <c r="A41" s="33"/>
      <c r="B41" s="51" t="s">
        <v>66</v>
      </c>
      <c r="C41" s="64" t="s">
        <v>64</v>
      </c>
      <c r="D41" s="64" t="s">
        <v>16</v>
      </c>
      <c r="E41" s="65">
        <v>30.0</v>
      </c>
      <c r="F41" s="54">
        <f>F39/32</f>
        <v>1812.5</v>
      </c>
      <c r="G41" s="55">
        <f t="shared" si="1"/>
        <v>2265.625</v>
      </c>
      <c r="H41" s="55">
        <f t="shared" si="2"/>
        <v>2945.3125</v>
      </c>
      <c r="I41" s="55">
        <f t="shared" si="3"/>
        <v>3092.578125</v>
      </c>
      <c r="J41" s="55">
        <f t="shared" si="4"/>
        <v>3556.464844</v>
      </c>
      <c r="K41" s="56"/>
      <c r="L41" s="54">
        <v>4500.0</v>
      </c>
      <c r="O41" s="8"/>
      <c r="P41" s="8"/>
    </row>
    <row r="42">
      <c r="A42" s="18">
        <v>18.0</v>
      </c>
      <c r="B42" s="84" t="s">
        <v>67</v>
      </c>
      <c r="C42" s="39" t="s">
        <v>68</v>
      </c>
      <c r="D42" s="40" t="s">
        <v>16</v>
      </c>
      <c r="E42" s="85">
        <v>750.0</v>
      </c>
      <c r="F42" s="81">
        <f>3907.08*1.15</f>
        <v>4493.142</v>
      </c>
      <c r="G42" s="82">
        <f t="shared" si="1"/>
        <v>5616.4275</v>
      </c>
      <c r="H42" s="82">
        <f t="shared" si="2"/>
        <v>7301.35575</v>
      </c>
      <c r="I42" s="82">
        <f t="shared" si="3"/>
        <v>7666.423538</v>
      </c>
      <c r="J42" s="82">
        <f t="shared" si="4"/>
        <v>8816.387068</v>
      </c>
      <c r="K42" s="83"/>
      <c r="L42" s="81">
        <v>9500.0</v>
      </c>
      <c r="O42" s="8"/>
      <c r="P42" s="8"/>
    </row>
    <row r="43">
      <c r="A43" s="25"/>
      <c r="B43" s="61" t="s">
        <v>69</v>
      </c>
      <c r="C43" s="61" t="s">
        <v>68</v>
      </c>
      <c r="D43" s="62" t="s">
        <v>16</v>
      </c>
      <c r="E43" s="28">
        <f t="shared" ref="E43:F43" si="5">E42/2</f>
        <v>375</v>
      </c>
      <c r="F43" s="29">
        <f t="shared" si="5"/>
        <v>2246.571</v>
      </c>
      <c r="G43" s="30">
        <f t="shared" si="1"/>
        <v>2808.21375</v>
      </c>
      <c r="H43" s="30">
        <f t="shared" si="2"/>
        <v>3650.677875</v>
      </c>
      <c r="I43" s="30">
        <f t="shared" si="3"/>
        <v>3833.211769</v>
      </c>
      <c r="J43" s="30">
        <f t="shared" si="4"/>
        <v>4408.193534</v>
      </c>
      <c r="K43" s="31"/>
      <c r="L43" s="32">
        <v>5500.0</v>
      </c>
      <c r="O43" s="8"/>
      <c r="P43" s="8"/>
    </row>
    <row r="44">
      <c r="A44" s="33"/>
      <c r="B44" s="51" t="s">
        <v>70</v>
      </c>
      <c r="C44" s="51" t="s">
        <v>68</v>
      </c>
      <c r="D44" s="64" t="s">
        <v>16</v>
      </c>
      <c r="E44" s="65">
        <v>30.0</v>
      </c>
      <c r="F44" s="66">
        <f>F42/24</f>
        <v>187.21425</v>
      </c>
      <c r="G44" s="55">
        <f t="shared" si="1"/>
        <v>234.0178125</v>
      </c>
      <c r="H44" s="55">
        <f t="shared" si="2"/>
        <v>304.2231563</v>
      </c>
      <c r="I44" s="55">
        <f t="shared" si="3"/>
        <v>319.4343141</v>
      </c>
      <c r="J44" s="55">
        <f t="shared" si="4"/>
        <v>367.3494612</v>
      </c>
      <c r="K44" s="56"/>
      <c r="L44" s="54">
        <v>400.0</v>
      </c>
      <c r="O44" s="8"/>
      <c r="P44" s="8"/>
    </row>
    <row r="45">
      <c r="A45" s="18">
        <v>19.0</v>
      </c>
      <c r="B45" s="84" t="s">
        <v>71</v>
      </c>
      <c r="C45" s="39" t="s">
        <v>72</v>
      </c>
      <c r="D45" s="40" t="s">
        <v>16</v>
      </c>
      <c r="E45" s="85">
        <v>750.0</v>
      </c>
      <c r="F45" s="81">
        <v>6700.0</v>
      </c>
      <c r="G45" s="82">
        <f t="shared" si="1"/>
        <v>8375</v>
      </c>
      <c r="H45" s="82">
        <f t="shared" si="2"/>
        <v>10887.5</v>
      </c>
      <c r="I45" s="82">
        <f t="shared" si="3"/>
        <v>11431.875</v>
      </c>
      <c r="J45" s="82">
        <f t="shared" si="4"/>
        <v>13146.65625</v>
      </c>
      <c r="K45" s="83"/>
      <c r="L45" s="81">
        <v>15000.0</v>
      </c>
      <c r="O45" s="8"/>
      <c r="P45" s="8"/>
    </row>
    <row r="46">
      <c r="A46" s="25"/>
      <c r="B46" s="61" t="s">
        <v>73</v>
      </c>
      <c r="C46" s="86" t="s">
        <v>72</v>
      </c>
      <c r="D46" s="62" t="s">
        <v>16</v>
      </c>
      <c r="E46" s="63">
        <v>375.0</v>
      </c>
      <c r="F46" s="29">
        <f>F45/2</f>
        <v>3350</v>
      </c>
      <c r="G46" s="30">
        <f t="shared" si="1"/>
        <v>4187.5</v>
      </c>
      <c r="H46" s="30">
        <f t="shared" si="2"/>
        <v>5443.75</v>
      </c>
      <c r="I46" s="30">
        <f t="shared" si="3"/>
        <v>5715.9375</v>
      </c>
      <c r="J46" s="30">
        <f t="shared" si="4"/>
        <v>6573.328125</v>
      </c>
      <c r="K46" s="31"/>
      <c r="L46" s="32">
        <v>8000.0</v>
      </c>
      <c r="O46" s="8"/>
      <c r="P46" s="8"/>
    </row>
    <row r="47">
      <c r="A47" s="33"/>
      <c r="B47" s="10" t="s">
        <v>74</v>
      </c>
      <c r="C47" s="51" t="s">
        <v>72</v>
      </c>
      <c r="D47" s="64" t="s">
        <v>16</v>
      </c>
      <c r="E47" s="65">
        <v>30.0</v>
      </c>
      <c r="F47" s="66">
        <f>F45/25</f>
        <v>268</v>
      </c>
      <c r="G47" s="55">
        <f t="shared" si="1"/>
        <v>335</v>
      </c>
      <c r="H47" s="55">
        <f t="shared" si="2"/>
        <v>435.5</v>
      </c>
      <c r="I47" s="55">
        <f t="shared" si="3"/>
        <v>457.275</v>
      </c>
      <c r="J47" s="55">
        <f t="shared" si="4"/>
        <v>525.86625</v>
      </c>
      <c r="K47" s="56"/>
      <c r="L47" s="54">
        <v>600.0</v>
      </c>
      <c r="O47" s="8"/>
      <c r="P47" s="8"/>
    </row>
    <row r="48">
      <c r="A48" s="18">
        <v>20.0</v>
      </c>
      <c r="B48" s="19" t="s">
        <v>75</v>
      </c>
      <c r="C48" s="19" t="s">
        <v>76</v>
      </c>
      <c r="D48" s="20" t="s">
        <v>16</v>
      </c>
      <c r="E48" s="21">
        <v>1000.0</v>
      </c>
      <c r="F48" s="22">
        <v>6480.0</v>
      </c>
      <c r="G48" s="23">
        <f t="shared" si="1"/>
        <v>8100</v>
      </c>
      <c r="H48" s="23">
        <f t="shared" si="2"/>
        <v>10530</v>
      </c>
      <c r="I48" s="23">
        <f t="shared" si="3"/>
        <v>11056.5</v>
      </c>
      <c r="J48" s="23">
        <f t="shared" si="4"/>
        <v>12714.975</v>
      </c>
      <c r="K48" s="24"/>
      <c r="L48" s="22">
        <v>13500.0</v>
      </c>
      <c r="O48" s="8"/>
      <c r="P48" s="8"/>
    </row>
    <row r="49">
      <c r="A49" s="25"/>
      <c r="B49" s="19" t="s">
        <v>77</v>
      </c>
      <c r="C49" s="19" t="s">
        <v>76</v>
      </c>
      <c r="D49" s="20" t="s">
        <v>16</v>
      </c>
      <c r="E49" s="21">
        <v>500.0</v>
      </c>
      <c r="F49" s="29">
        <f>F48/2</f>
        <v>3240</v>
      </c>
      <c r="G49" s="30">
        <f t="shared" si="1"/>
        <v>4050</v>
      </c>
      <c r="H49" s="30">
        <f t="shared" si="2"/>
        <v>5265</v>
      </c>
      <c r="I49" s="30">
        <f t="shared" si="3"/>
        <v>5528.25</v>
      </c>
      <c r="J49" s="30">
        <f t="shared" si="4"/>
        <v>6357.4875</v>
      </c>
      <c r="K49" s="31"/>
      <c r="L49" s="32">
        <v>7000.0</v>
      </c>
      <c r="O49" s="8"/>
      <c r="P49" s="8"/>
    </row>
    <row r="50">
      <c r="A50" s="33"/>
      <c r="B50" s="10" t="s">
        <v>78</v>
      </c>
      <c r="C50" s="10" t="s">
        <v>76</v>
      </c>
      <c r="D50" s="11" t="s">
        <v>16</v>
      </c>
      <c r="E50" s="12">
        <v>30.0</v>
      </c>
      <c r="F50" s="37">
        <f>F48/32</f>
        <v>202.5</v>
      </c>
      <c r="G50" s="14">
        <f t="shared" si="1"/>
        <v>253.125</v>
      </c>
      <c r="H50" s="14">
        <f t="shared" si="2"/>
        <v>329.0625</v>
      </c>
      <c r="I50" s="14">
        <f t="shared" si="3"/>
        <v>345.515625</v>
      </c>
      <c r="J50" s="14">
        <f t="shared" si="4"/>
        <v>397.3429688</v>
      </c>
      <c r="K50" s="38"/>
      <c r="L50" s="13">
        <v>450.0</v>
      </c>
      <c r="O50" s="8"/>
      <c r="P50" s="8"/>
    </row>
    <row r="51">
      <c r="A51" s="18">
        <v>21.0</v>
      </c>
      <c r="B51" s="19" t="s">
        <v>79</v>
      </c>
      <c r="C51" s="20" t="s">
        <v>80</v>
      </c>
      <c r="D51" s="20" t="s">
        <v>16</v>
      </c>
      <c r="E51" s="60">
        <v>750.0</v>
      </c>
      <c r="F51" s="22">
        <v>8399.0</v>
      </c>
      <c r="G51" s="23">
        <f t="shared" si="1"/>
        <v>10498.75</v>
      </c>
      <c r="H51" s="23">
        <f t="shared" si="2"/>
        <v>13648.375</v>
      </c>
      <c r="I51" s="23">
        <f t="shared" si="3"/>
        <v>14330.79375</v>
      </c>
      <c r="J51" s="23">
        <f t="shared" si="4"/>
        <v>16480.41281</v>
      </c>
      <c r="K51" s="24"/>
      <c r="L51" s="87">
        <v>17500.0</v>
      </c>
      <c r="M51" s="53">
        <v>16500.0</v>
      </c>
      <c r="O51" s="8"/>
      <c r="P51" s="8"/>
    </row>
    <row r="52">
      <c r="A52" s="25"/>
      <c r="B52" s="19" t="s">
        <v>81</v>
      </c>
      <c r="C52" s="20" t="s">
        <v>80</v>
      </c>
      <c r="D52" s="20" t="s">
        <v>16</v>
      </c>
      <c r="E52" s="60">
        <v>375.0</v>
      </c>
      <c r="F52" s="29">
        <f>F51/2</f>
        <v>4199.5</v>
      </c>
      <c r="G52" s="30">
        <f t="shared" si="1"/>
        <v>5249.375</v>
      </c>
      <c r="H52" s="30">
        <f t="shared" si="2"/>
        <v>6824.1875</v>
      </c>
      <c r="I52" s="30">
        <f t="shared" si="3"/>
        <v>7165.396875</v>
      </c>
      <c r="J52" s="30">
        <f t="shared" si="4"/>
        <v>8240.206406</v>
      </c>
      <c r="K52" s="31"/>
      <c r="L52" s="32">
        <v>9500.0</v>
      </c>
      <c r="O52" s="8"/>
      <c r="P52" s="8"/>
    </row>
    <row r="53">
      <c r="A53" s="33"/>
      <c r="B53" s="10" t="s">
        <v>82</v>
      </c>
      <c r="C53" s="11" t="s">
        <v>80</v>
      </c>
      <c r="D53" s="11" t="s">
        <v>16</v>
      </c>
      <c r="E53" s="12">
        <v>30.0</v>
      </c>
      <c r="F53" s="37">
        <f>F51/25</f>
        <v>335.96</v>
      </c>
      <c r="G53" s="14">
        <f t="shared" si="1"/>
        <v>419.95</v>
      </c>
      <c r="H53" s="14">
        <f t="shared" si="2"/>
        <v>545.935</v>
      </c>
      <c r="I53" s="14">
        <f t="shared" si="3"/>
        <v>573.23175</v>
      </c>
      <c r="J53" s="14">
        <f t="shared" si="4"/>
        <v>659.2165125</v>
      </c>
      <c r="K53" s="38"/>
      <c r="L53" s="13">
        <v>750.0</v>
      </c>
      <c r="O53" s="8"/>
      <c r="P53" s="8"/>
    </row>
    <row r="54">
      <c r="A54" s="18">
        <v>22.0</v>
      </c>
      <c r="B54" s="39" t="s">
        <v>83</v>
      </c>
      <c r="C54" s="40" t="s">
        <v>84</v>
      </c>
      <c r="D54" s="40" t="s">
        <v>16</v>
      </c>
      <c r="E54" s="41">
        <v>1000.0</v>
      </c>
      <c r="F54" s="22">
        <v>7840.7</v>
      </c>
      <c r="G54" s="23">
        <f t="shared" si="1"/>
        <v>9800.875</v>
      </c>
      <c r="H54" s="23">
        <f t="shared" si="2"/>
        <v>12741.1375</v>
      </c>
      <c r="I54" s="23">
        <f t="shared" si="3"/>
        <v>13378.19438</v>
      </c>
      <c r="J54" s="23">
        <f t="shared" si="4"/>
        <v>15384.92353</v>
      </c>
      <c r="K54" s="24"/>
      <c r="L54" s="22">
        <v>16500.0</v>
      </c>
      <c r="O54" s="8"/>
      <c r="P54" s="8"/>
    </row>
    <row r="55">
      <c r="A55" s="25"/>
      <c r="B55" s="61" t="s">
        <v>85</v>
      </c>
      <c r="C55" s="62" t="s">
        <v>84</v>
      </c>
      <c r="D55" s="62" t="s">
        <v>16</v>
      </c>
      <c r="E55" s="63">
        <v>500.0</v>
      </c>
      <c r="F55" s="88">
        <f>F54/2</f>
        <v>3920.35</v>
      </c>
      <c r="G55" s="23">
        <f t="shared" si="1"/>
        <v>4900.4375</v>
      </c>
      <c r="H55" s="23">
        <f t="shared" si="2"/>
        <v>6370.56875</v>
      </c>
      <c r="I55" s="23">
        <f t="shared" si="3"/>
        <v>6689.097188</v>
      </c>
      <c r="J55" s="23">
        <f t="shared" si="4"/>
        <v>7692.461766</v>
      </c>
      <c r="K55" s="83"/>
      <c r="L55" s="81">
        <v>9500.0</v>
      </c>
      <c r="O55" s="8"/>
      <c r="P55" s="8"/>
    </row>
    <row r="56">
      <c r="A56" s="33"/>
      <c r="B56" s="10" t="s">
        <v>86</v>
      </c>
      <c r="C56" s="11" t="s">
        <v>84</v>
      </c>
      <c r="D56" s="11" t="s">
        <v>16</v>
      </c>
      <c r="E56" s="12">
        <v>30.0</v>
      </c>
      <c r="F56" s="37">
        <f>F54/32</f>
        <v>245.021875</v>
      </c>
      <c r="G56" s="14">
        <f t="shared" si="1"/>
        <v>306.2773438</v>
      </c>
      <c r="H56" s="14">
        <f t="shared" si="2"/>
        <v>398.1605469</v>
      </c>
      <c r="I56" s="14">
        <f t="shared" si="3"/>
        <v>418.0685742</v>
      </c>
      <c r="J56" s="14">
        <f t="shared" si="4"/>
        <v>480.7788604</v>
      </c>
      <c r="K56" s="38"/>
      <c r="L56" s="13">
        <v>550.0</v>
      </c>
      <c r="O56" s="8"/>
      <c r="P56" s="8"/>
    </row>
    <row r="57">
      <c r="A57" s="9">
        <v>23.0</v>
      </c>
      <c r="B57" s="10" t="s">
        <v>87</v>
      </c>
      <c r="C57" s="11"/>
      <c r="D57" s="11"/>
      <c r="E57" s="11"/>
      <c r="F57" s="66"/>
      <c r="G57" s="55">
        <f t="shared" si="1"/>
        <v>0</v>
      </c>
      <c r="H57" s="55">
        <f t="shared" si="2"/>
        <v>0</v>
      </c>
      <c r="I57" s="55">
        <f t="shared" si="3"/>
        <v>0</v>
      </c>
      <c r="J57" s="55">
        <f t="shared" si="4"/>
        <v>0</v>
      </c>
      <c r="K57" s="56"/>
      <c r="L57" s="66"/>
      <c r="O57" s="8"/>
      <c r="P57" s="8"/>
    </row>
    <row r="58">
      <c r="A58" s="9">
        <v>24.0</v>
      </c>
      <c r="B58" s="10" t="s">
        <v>88</v>
      </c>
      <c r="C58" s="11" t="s">
        <v>89</v>
      </c>
      <c r="D58" s="11" t="s">
        <v>16</v>
      </c>
      <c r="E58" s="12">
        <v>1000.0</v>
      </c>
      <c r="F58" s="66"/>
      <c r="G58" s="55">
        <f t="shared" si="1"/>
        <v>0</v>
      </c>
      <c r="H58" s="55">
        <f t="shared" si="2"/>
        <v>0</v>
      </c>
      <c r="I58" s="55">
        <f t="shared" si="3"/>
        <v>0</v>
      </c>
      <c r="J58" s="55">
        <f t="shared" si="4"/>
        <v>0</v>
      </c>
      <c r="K58" s="56"/>
      <c r="L58" s="54">
        <v>45000.0</v>
      </c>
      <c r="O58" s="8"/>
      <c r="P58" s="8"/>
    </row>
    <row r="59">
      <c r="A59" s="9">
        <v>25.0</v>
      </c>
      <c r="B59" s="80" t="s">
        <v>90</v>
      </c>
      <c r="C59" s="11" t="s">
        <v>90</v>
      </c>
      <c r="D59" s="11" t="s">
        <v>16</v>
      </c>
      <c r="E59" s="12">
        <v>750.0</v>
      </c>
      <c r="F59" s="54">
        <v>2700.0</v>
      </c>
      <c r="G59" s="55">
        <f t="shared" si="1"/>
        <v>3375</v>
      </c>
      <c r="H59" s="55">
        <f t="shared" si="2"/>
        <v>4387.5</v>
      </c>
      <c r="I59" s="55">
        <f t="shared" si="3"/>
        <v>4606.875</v>
      </c>
      <c r="J59" s="55">
        <f t="shared" si="4"/>
        <v>5297.90625</v>
      </c>
      <c r="K59" s="56"/>
      <c r="L59" s="54">
        <v>6000.0</v>
      </c>
      <c r="O59" s="8"/>
      <c r="P59" s="8"/>
    </row>
    <row r="60">
      <c r="A60" s="18">
        <v>26.0</v>
      </c>
      <c r="B60" s="19" t="s">
        <v>91</v>
      </c>
      <c r="C60" s="20" t="s">
        <v>92</v>
      </c>
      <c r="D60" s="20" t="s">
        <v>16</v>
      </c>
      <c r="E60" s="21">
        <v>1000.0</v>
      </c>
      <c r="F60" s="22">
        <v>10350.0</v>
      </c>
      <c r="G60" s="23">
        <f t="shared" si="1"/>
        <v>12937.5</v>
      </c>
      <c r="H60" s="23">
        <f t="shared" si="2"/>
        <v>16818.75</v>
      </c>
      <c r="I60" s="23">
        <f t="shared" si="3"/>
        <v>17659.6875</v>
      </c>
      <c r="J60" s="23">
        <f t="shared" si="4"/>
        <v>20308.64063</v>
      </c>
      <c r="K60" s="24"/>
      <c r="L60" s="22">
        <v>21500.0</v>
      </c>
      <c r="O60" s="8"/>
      <c r="P60" s="8"/>
    </row>
    <row r="61">
      <c r="A61" s="25"/>
      <c r="B61" s="19" t="s">
        <v>93</v>
      </c>
      <c r="C61" s="20" t="s">
        <v>92</v>
      </c>
      <c r="D61" s="20" t="s">
        <v>16</v>
      </c>
      <c r="E61" s="21">
        <v>500.0</v>
      </c>
      <c r="F61" s="29">
        <f>F60/2</f>
        <v>5175</v>
      </c>
      <c r="G61" s="30">
        <f t="shared" si="1"/>
        <v>6468.75</v>
      </c>
      <c r="H61" s="30">
        <f t="shared" si="2"/>
        <v>8409.375</v>
      </c>
      <c r="I61" s="30">
        <f t="shared" si="3"/>
        <v>8829.84375</v>
      </c>
      <c r="J61" s="30">
        <f t="shared" si="4"/>
        <v>10154.32031</v>
      </c>
      <c r="K61" s="31"/>
      <c r="L61" s="32">
        <v>11500.0</v>
      </c>
      <c r="O61" s="8"/>
      <c r="P61" s="8"/>
    </row>
    <row r="62">
      <c r="A62" s="33"/>
      <c r="B62" s="10" t="s">
        <v>94</v>
      </c>
      <c r="C62" s="11" t="s">
        <v>92</v>
      </c>
      <c r="D62" s="11" t="s">
        <v>16</v>
      </c>
      <c r="E62" s="12">
        <v>30.0</v>
      </c>
      <c r="F62" s="37">
        <f>F60/32</f>
        <v>323.4375</v>
      </c>
      <c r="G62" s="14">
        <f t="shared" si="1"/>
        <v>404.296875</v>
      </c>
      <c r="H62" s="14">
        <f t="shared" si="2"/>
        <v>525.5859375</v>
      </c>
      <c r="I62" s="14">
        <f t="shared" si="3"/>
        <v>551.8652344</v>
      </c>
      <c r="J62" s="14">
        <f t="shared" si="4"/>
        <v>634.6450195</v>
      </c>
      <c r="K62" s="38"/>
      <c r="L62" s="13">
        <v>700.0</v>
      </c>
      <c r="O62" s="8"/>
      <c r="P62" s="8"/>
    </row>
    <row r="63">
      <c r="A63" s="18">
        <v>27.0</v>
      </c>
      <c r="B63" s="84" t="s">
        <v>95</v>
      </c>
      <c r="C63" s="40" t="s">
        <v>96</v>
      </c>
      <c r="D63" s="40" t="s">
        <v>16</v>
      </c>
      <c r="E63" s="41">
        <v>750.0</v>
      </c>
      <c r="F63" s="81">
        <v>17500.0</v>
      </c>
      <c r="G63" s="82">
        <f t="shared" si="1"/>
        <v>21875</v>
      </c>
      <c r="H63" s="82">
        <f t="shared" si="2"/>
        <v>28437.5</v>
      </c>
      <c r="I63" s="82">
        <f t="shared" si="3"/>
        <v>29859.375</v>
      </c>
      <c r="J63" s="82">
        <f t="shared" si="4"/>
        <v>34338.28125</v>
      </c>
      <c r="K63" s="83"/>
      <c r="L63" s="81">
        <v>36000.0</v>
      </c>
      <c r="O63" s="8"/>
      <c r="P63" s="8"/>
    </row>
    <row r="64">
      <c r="A64" s="25"/>
      <c r="B64" s="61" t="s">
        <v>97</v>
      </c>
      <c r="C64" s="61" t="s">
        <v>96</v>
      </c>
      <c r="D64" s="62" t="s">
        <v>16</v>
      </c>
      <c r="E64" s="63">
        <v>375.0</v>
      </c>
      <c r="F64" s="32">
        <f>F63/2</f>
        <v>8750</v>
      </c>
      <c r="G64" s="30">
        <f t="shared" si="1"/>
        <v>10937.5</v>
      </c>
      <c r="H64" s="30">
        <f t="shared" si="2"/>
        <v>14218.75</v>
      </c>
      <c r="I64" s="30">
        <f t="shared" si="3"/>
        <v>14929.6875</v>
      </c>
      <c r="J64" s="30">
        <f t="shared" si="4"/>
        <v>17169.14063</v>
      </c>
      <c r="K64" s="31"/>
      <c r="L64" s="32">
        <v>18000.0</v>
      </c>
      <c r="O64" s="8"/>
      <c r="P64" s="8"/>
    </row>
    <row r="65">
      <c r="A65" s="33"/>
      <c r="B65" s="51" t="s">
        <v>98</v>
      </c>
      <c r="C65" s="51" t="s">
        <v>96</v>
      </c>
      <c r="D65" s="64" t="s">
        <v>16</v>
      </c>
      <c r="E65" s="65">
        <v>30.0</v>
      </c>
      <c r="F65" s="54">
        <f>F63/32</f>
        <v>546.875</v>
      </c>
      <c r="G65" s="14">
        <f t="shared" si="1"/>
        <v>683.59375</v>
      </c>
      <c r="H65" s="14">
        <f t="shared" si="2"/>
        <v>888.671875</v>
      </c>
      <c r="I65" s="14">
        <f t="shared" si="3"/>
        <v>933.1054688</v>
      </c>
      <c r="J65" s="14">
        <f t="shared" si="4"/>
        <v>1073.071289</v>
      </c>
      <c r="K65" s="56"/>
      <c r="L65" s="54">
        <v>1200.0</v>
      </c>
      <c r="O65" s="8"/>
      <c r="P65" s="8"/>
    </row>
    <row r="66">
      <c r="A66" s="18">
        <v>28.0</v>
      </c>
      <c r="B66" s="84" t="s">
        <v>99</v>
      </c>
      <c r="C66" s="40" t="s">
        <v>100</v>
      </c>
      <c r="D66" s="40" t="s">
        <v>16</v>
      </c>
      <c r="E66" s="41">
        <v>750.0</v>
      </c>
      <c r="F66" s="81">
        <v>13000.0</v>
      </c>
      <c r="G66" s="82">
        <f t="shared" si="1"/>
        <v>16250</v>
      </c>
      <c r="H66" s="82">
        <f t="shared" si="2"/>
        <v>21125</v>
      </c>
      <c r="I66" s="82">
        <f t="shared" si="3"/>
        <v>22181.25</v>
      </c>
      <c r="J66" s="82">
        <f t="shared" si="4"/>
        <v>25508.4375</v>
      </c>
      <c r="K66" s="83"/>
      <c r="L66" s="81">
        <v>26500.0</v>
      </c>
      <c r="O66" s="8"/>
      <c r="P66" s="8"/>
    </row>
    <row r="67">
      <c r="A67" s="25"/>
      <c r="B67" s="61" t="s">
        <v>101</v>
      </c>
      <c r="C67" s="62" t="s">
        <v>100</v>
      </c>
      <c r="D67" s="62" t="s">
        <v>16</v>
      </c>
      <c r="E67" s="63">
        <v>375.0</v>
      </c>
      <c r="F67" s="32">
        <f>F66/2</f>
        <v>6500</v>
      </c>
      <c r="G67" s="30">
        <f t="shared" si="1"/>
        <v>8125</v>
      </c>
      <c r="H67" s="30">
        <f t="shared" si="2"/>
        <v>10562.5</v>
      </c>
      <c r="I67" s="30">
        <f t="shared" si="3"/>
        <v>11090.625</v>
      </c>
      <c r="J67" s="30">
        <f t="shared" si="4"/>
        <v>12754.21875</v>
      </c>
      <c r="K67" s="31"/>
      <c r="L67" s="32">
        <v>14000.0</v>
      </c>
      <c r="O67" s="8"/>
      <c r="P67" s="8"/>
    </row>
    <row r="68">
      <c r="A68" s="33"/>
      <c r="B68" s="51" t="s">
        <v>102</v>
      </c>
      <c r="C68" s="64" t="s">
        <v>100</v>
      </c>
      <c r="D68" s="64" t="s">
        <v>16</v>
      </c>
      <c r="E68" s="65">
        <v>30.0</v>
      </c>
      <c r="F68" s="54">
        <f>F66/25</f>
        <v>520</v>
      </c>
      <c r="G68" s="14">
        <f t="shared" si="1"/>
        <v>650</v>
      </c>
      <c r="H68" s="14">
        <f t="shared" si="2"/>
        <v>845</v>
      </c>
      <c r="I68" s="14">
        <f t="shared" si="3"/>
        <v>887.25</v>
      </c>
      <c r="J68" s="14">
        <f t="shared" si="4"/>
        <v>1020.3375</v>
      </c>
      <c r="K68" s="56"/>
      <c r="L68" s="54">
        <v>1200.0</v>
      </c>
      <c r="O68" s="8"/>
      <c r="P68" s="8"/>
    </row>
    <row r="69">
      <c r="A69" s="18">
        <v>29.0</v>
      </c>
      <c r="B69" s="84" t="s">
        <v>103</v>
      </c>
      <c r="C69" s="40" t="s">
        <v>104</v>
      </c>
      <c r="D69" s="40" t="s">
        <v>16</v>
      </c>
      <c r="E69" s="41">
        <v>1000.0</v>
      </c>
      <c r="F69" s="89"/>
      <c r="G69" s="82">
        <f t="shared" si="1"/>
        <v>0</v>
      </c>
      <c r="H69" s="82">
        <f t="shared" si="2"/>
        <v>0</v>
      </c>
      <c r="I69" s="82">
        <f t="shared" si="3"/>
        <v>0</v>
      </c>
      <c r="J69" s="82">
        <f t="shared" si="4"/>
        <v>0</v>
      </c>
      <c r="K69" s="83"/>
      <c r="L69" s="89"/>
      <c r="O69" s="8"/>
      <c r="P69" s="8"/>
    </row>
    <row r="70">
      <c r="A70" s="25"/>
      <c r="B70" s="61" t="s">
        <v>105</v>
      </c>
      <c r="C70" s="62" t="s">
        <v>104</v>
      </c>
      <c r="D70" s="62" t="s">
        <v>16</v>
      </c>
      <c r="E70" s="63">
        <v>500.0</v>
      </c>
      <c r="F70" s="29"/>
      <c r="G70" s="30">
        <f t="shared" si="1"/>
        <v>0</v>
      </c>
      <c r="H70" s="30">
        <f t="shared" si="2"/>
        <v>0</v>
      </c>
      <c r="I70" s="30">
        <f t="shared" si="3"/>
        <v>0</v>
      </c>
      <c r="J70" s="30">
        <f t="shared" si="4"/>
        <v>0</v>
      </c>
      <c r="K70" s="31"/>
      <c r="L70" s="29"/>
      <c r="O70" s="8"/>
      <c r="P70" s="8"/>
    </row>
    <row r="71">
      <c r="A71" s="33"/>
      <c r="B71" s="51" t="s">
        <v>106</v>
      </c>
      <c r="C71" s="64" t="s">
        <v>104</v>
      </c>
      <c r="D71" s="64" t="s">
        <v>16</v>
      </c>
      <c r="E71" s="65">
        <v>30.0</v>
      </c>
      <c r="F71" s="66"/>
      <c r="G71" s="14">
        <f t="shared" si="1"/>
        <v>0</v>
      </c>
      <c r="H71" s="14">
        <f t="shared" si="2"/>
        <v>0</v>
      </c>
      <c r="I71" s="14">
        <f t="shared" si="3"/>
        <v>0</v>
      </c>
      <c r="J71" s="14">
        <f t="shared" si="4"/>
        <v>0</v>
      </c>
      <c r="K71" s="56"/>
      <c r="L71" s="66"/>
      <c r="O71" s="8"/>
      <c r="P71" s="8"/>
    </row>
    <row r="72">
      <c r="A72" s="18">
        <v>30.0</v>
      </c>
      <c r="B72" s="84" t="s">
        <v>107</v>
      </c>
      <c r="C72" s="90" t="s">
        <v>108</v>
      </c>
      <c r="D72" s="90" t="s">
        <v>16</v>
      </c>
      <c r="E72" s="90">
        <v>1000.0</v>
      </c>
      <c r="F72" s="89"/>
      <c r="G72" s="82">
        <f t="shared" si="1"/>
        <v>0</v>
      </c>
      <c r="H72" s="82">
        <f t="shared" si="2"/>
        <v>0</v>
      </c>
      <c r="I72" s="82">
        <f t="shared" si="3"/>
        <v>0</v>
      </c>
      <c r="J72" s="82">
        <f t="shared" si="4"/>
        <v>0</v>
      </c>
      <c r="K72" s="83"/>
      <c r="L72" s="89"/>
      <c r="O72" s="8"/>
      <c r="P72" s="8"/>
    </row>
    <row r="73">
      <c r="A73" s="25"/>
      <c r="B73" s="61" t="s">
        <v>109</v>
      </c>
      <c r="C73" s="62" t="s">
        <v>108</v>
      </c>
      <c r="D73" s="62" t="s">
        <v>16</v>
      </c>
      <c r="E73" s="62">
        <v>500.0</v>
      </c>
      <c r="F73" s="29"/>
      <c r="G73" s="30">
        <f t="shared" si="1"/>
        <v>0</v>
      </c>
      <c r="H73" s="30">
        <f t="shared" si="2"/>
        <v>0</v>
      </c>
      <c r="I73" s="30">
        <f t="shared" si="3"/>
        <v>0</v>
      </c>
      <c r="J73" s="30">
        <f t="shared" si="4"/>
        <v>0</v>
      </c>
      <c r="K73" s="31"/>
      <c r="L73" s="29"/>
      <c r="O73" s="8"/>
      <c r="P73" s="8"/>
    </row>
    <row r="74">
      <c r="A74" s="33"/>
      <c r="B74" s="51" t="s">
        <v>110</v>
      </c>
      <c r="C74" s="64" t="s">
        <v>108</v>
      </c>
      <c r="D74" s="64" t="s">
        <v>16</v>
      </c>
      <c r="E74" s="64">
        <v>30.0</v>
      </c>
      <c r="F74" s="66"/>
      <c r="G74" s="14">
        <f t="shared" si="1"/>
        <v>0</v>
      </c>
      <c r="H74" s="14">
        <f t="shared" si="2"/>
        <v>0</v>
      </c>
      <c r="I74" s="14">
        <f t="shared" si="3"/>
        <v>0</v>
      </c>
      <c r="J74" s="14">
        <f t="shared" si="4"/>
        <v>0</v>
      </c>
      <c r="K74" s="56"/>
      <c r="L74" s="66"/>
      <c r="O74" s="8"/>
      <c r="P74" s="8"/>
    </row>
    <row r="75">
      <c r="A75" s="18">
        <v>31.0</v>
      </c>
      <c r="B75" s="39" t="s">
        <v>111</v>
      </c>
      <c r="C75" s="40" t="s">
        <v>112</v>
      </c>
      <c r="D75" s="40" t="s">
        <v>16</v>
      </c>
      <c r="E75" s="41">
        <v>750.0</v>
      </c>
      <c r="F75" s="89"/>
      <c r="G75" s="82">
        <f t="shared" si="1"/>
        <v>0</v>
      </c>
      <c r="H75" s="82">
        <f t="shared" si="2"/>
        <v>0</v>
      </c>
      <c r="I75" s="82">
        <f t="shared" si="3"/>
        <v>0</v>
      </c>
      <c r="J75" s="82">
        <f t="shared" si="4"/>
        <v>0</v>
      </c>
      <c r="K75" s="83"/>
      <c r="L75" s="89"/>
      <c r="O75" s="8"/>
      <c r="P75" s="8"/>
    </row>
    <row r="76">
      <c r="A76" s="91"/>
      <c r="B76" s="26"/>
      <c r="C76" s="27"/>
      <c r="D76" s="27"/>
      <c r="E76" s="28"/>
      <c r="F76" s="29"/>
      <c r="G76" s="30">
        <f t="shared" si="1"/>
        <v>0</v>
      </c>
      <c r="H76" s="30">
        <f t="shared" si="2"/>
        <v>0</v>
      </c>
      <c r="I76" s="30">
        <f t="shared" si="3"/>
        <v>0</v>
      </c>
      <c r="J76" s="30">
        <f t="shared" si="4"/>
        <v>0</v>
      </c>
      <c r="K76" s="31"/>
      <c r="L76" s="29"/>
      <c r="O76" s="8"/>
      <c r="P76" s="8"/>
    </row>
    <row r="77">
      <c r="A77" s="9"/>
      <c r="B77" s="10"/>
      <c r="C77" s="11"/>
      <c r="D77" s="11"/>
      <c r="E77" s="12"/>
      <c r="F77" s="66"/>
      <c r="G77" s="14">
        <f t="shared" si="1"/>
        <v>0</v>
      </c>
      <c r="H77" s="14">
        <f t="shared" si="2"/>
        <v>0</v>
      </c>
      <c r="I77" s="14">
        <f t="shared" si="3"/>
        <v>0</v>
      </c>
      <c r="J77" s="14">
        <f t="shared" si="4"/>
        <v>0</v>
      </c>
      <c r="K77" s="56"/>
      <c r="L77" s="66"/>
      <c r="O77" s="8"/>
      <c r="P77" s="8"/>
    </row>
    <row r="78">
      <c r="A78" s="18">
        <v>32.0</v>
      </c>
      <c r="B78" s="39" t="s">
        <v>113</v>
      </c>
      <c r="C78" s="40" t="s">
        <v>114</v>
      </c>
      <c r="D78" s="40" t="s">
        <v>16</v>
      </c>
      <c r="E78" s="41">
        <v>750.0</v>
      </c>
      <c r="F78" s="89"/>
      <c r="G78" s="82">
        <f t="shared" si="1"/>
        <v>0</v>
      </c>
      <c r="H78" s="82">
        <f t="shared" si="2"/>
        <v>0</v>
      </c>
      <c r="I78" s="82">
        <f t="shared" si="3"/>
        <v>0</v>
      </c>
      <c r="J78" s="82">
        <f t="shared" si="4"/>
        <v>0</v>
      </c>
      <c r="K78" s="83"/>
      <c r="L78" s="89"/>
      <c r="O78" s="8"/>
      <c r="P78" s="8"/>
    </row>
    <row r="79">
      <c r="A79" s="91"/>
      <c r="B79" s="26"/>
      <c r="C79" s="27"/>
      <c r="D79" s="27"/>
      <c r="E79" s="28"/>
      <c r="F79" s="29"/>
      <c r="G79" s="30">
        <f t="shared" si="1"/>
        <v>0</v>
      </c>
      <c r="H79" s="30">
        <f t="shared" si="2"/>
        <v>0</v>
      </c>
      <c r="I79" s="30">
        <f t="shared" si="3"/>
        <v>0</v>
      </c>
      <c r="J79" s="30">
        <f t="shared" si="4"/>
        <v>0</v>
      </c>
      <c r="K79" s="31"/>
      <c r="L79" s="29"/>
      <c r="O79" s="8"/>
      <c r="P79" s="8"/>
    </row>
    <row r="80">
      <c r="A80" s="9"/>
      <c r="B80" s="10"/>
      <c r="C80" s="11"/>
      <c r="D80" s="11"/>
      <c r="E80" s="12"/>
      <c r="F80" s="66"/>
      <c r="G80" s="14">
        <f t="shared" si="1"/>
        <v>0</v>
      </c>
      <c r="H80" s="14">
        <f t="shared" si="2"/>
        <v>0</v>
      </c>
      <c r="I80" s="14">
        <f t="shared" si="3"/>
        <v>0</v>
      </c>
      <c r="J80" s="14">
        <f t="shared" si="4"/>
        <v>0</v>
      </c>
      <c r="K80" s="56"/>
      <c r="L80" s="66"/>
      <c r="O80" s="8"/>
      <c r="P80" s="8"/>
    </row>
    <row r="81">
      <c r="A81" s="18">
        <v>33.0</v>
      </c>
      <c r="B81" s="19" t="s">
        <v>115</v>
      </c>
      <c r="C81" s="20" t="s">
        <v>116</v>
      </c>
      <c r="D81" s="20" t="s">
        <v>16</v>
      </c>
      <c r="E81" s="21">
        <v>1000.0</v>
      </c>
      <c r="F81" s="22">
        <v>22000.0</v>
      </c>
      <c r="G81" s="23">
        <f t="shared" si="1"/>
        <v>27500</v>
      </c>
      <c r="H81" s="23">
        <f t="shared" si="2"/>
        <v>35750</v>
      </c>
      <c r="I81" s="23">
        <f t="shared" si="3"/>
        <v>37537.5</v>
      </c>
      <c r="J81" s="23">
        <f t="shared" si="4"/>
        <v>43168.125</v>
      </c>
      <c r="K81" s="24"/>
      <c r="L81" s="22">
        <v>45000.0</v>
      </c>
      <c r="O81" s="8"/>
      <c r="P81" s="8"/>
    </row>
    <row r="82">
      <c r="A82" s="25"/>
      <c r="B82" s="19" t="s">
        <v>117</v>
      </c>
      <c r="C82" s="20" t="s">
        <v>116</v>
      </c>
      <c r="D82" s="20" t="s">
        <v>16</v>
      </c>
      <c r="E82" s="21">
        <v>500.0</v>
      </c>
      <c r="F82" s="29">
        <f>F81/2</f>
        <v>11000</v>
      </c>
      <c r="G82" s="30">
        <f t="shared" si="1"/>
        <v>13750</v>
      </c>
      <c r="H82" s="30">
        <f t="shared" si="2"/>
        <v>17875</v>
      </c>
      <c r="I82" s="30">
        <f t="shared" si="3"/>
        <v>18768.75</v>
      </c>
      <c r="J82" s="30">
        <f t="shared" si="4"/>
        <v>21584.0625</v>
      </c>
      <c r="K82" s="31"/>
      <c r="L82" s="32">
        <v>24000.0</v>
      </c>
      <c r="O82" s="8"/>
      <c r="P82" s="8"/>
    </row>
    <row r="83">
      <c r="A83" s="33"/>
      <c r="B83" s="10" t="s">
        <v>118</v>
      </c>
      <c r="C83" s="11" t="s">
        <v>116</v>
      </c>
      <c r="D83" s="11" t="s">
        <v>16</v>
      </c>
      <c r="E83" s="12">
        <v>30.0</v>
      </c>
      <c r="F83" s="37">
        <f>F81/32</f>
        <v>687.5</v>
      </c>
      <c r="G83" s="14">
        <f t="shared" si="1"/>
        <v>859.375</v>
      </c>
      <c r="H83" s="14">
        <f t="shared" si="2"/>
        <v>1117.1875</v>
      </c>
      <c r="I83" s="14">
        <f t="shared" si="3"/>
        <v>1173.046875</v>
      </c>
      <c r="J83" s="14">
        <f t="shared" si="4"/>
        <v>1349.003906</v>
      </c>
      <c r="K83" s="38"/>
      <c r="L83" s="13">
        <v>1500.0</v>
      </c>
      <c r="O83" s="8"/>
      <c r="P83" s="8"/>
    </row>
    <row r="84">
      <c r="A84" s="18">
        <v>34.0</v>
      </c>
      <c r="B84" s="59" t="s">
        <v>119</v>
      </c>
      <c r="C84" s="19" t="s">
        <v>120</v>
      </c>
      <c r="D84" s="20" t="s">
        <v>16</v>
      </c>
      <c r="E84" s="21">
        <v>1000.0</v>
      </c>
      <c r="F84" s="58"/>
      <c r="G84" s="23">
        <f t="shared" si="1"/>
        <v>0</v>
      </c>
      <c r="H84" s="23">
        <f t="shared" si="2"/>
        <v>0</v>
      </c>
      <c r="I84" s="23">
        <f t="shared" si="3"/>
        <v>0</v>
      </c>
      <c r="J84" s="23">
        <f t="shared" si="4"/>
        <v>0</v>
      </c>
      <c r="K84" s="24"/>
      <c r="L84" s="58"/>
      <c r="O84" s="8"/>
      <c r="P84" s="8"/>
    </row>
    <row r="85">
      <c r="A85" s="25"/>
      <c r="B85" s="61" t="s">
        <v>121</v>
      </c>
      <c r="C85" s="61" t="s">
        <v>120</v>
      </c>
      <c r="D85" s="62" t="s">
        <v>16</v>
      </c>
      <c r="E85" s="63">
        <v>500.0</v>
      </c>
      <c r="F85" s="29"/>
      <c r="G85" s="30">
        <f t="shared" si="1"/>
        <v>0</v>
      </c>
      <c r="H85" s="30">
        <f t="shared" si="2"/>
        <v>0</v>
      </c>
      <c r="I85" s="30">
        <f t="shared" si="3"/>
        <v>0</v>
      </c>
      <c r="J85" s="30">
        <f t="shared" si="4"/>
        <v>0</v>
      </c>
      <c r="K85" s="31"/>
      <c r="L85" s="29"/>
      <c r="O85" s="8"/>
      <c r="P85" s="8"/>
    </row>
    <row r="86">
      <c r="A86" s="33"/>
      <c r="B86" s="46" t="s">
        <v>122</v>
      </c>
      <c r="C86" s="46" t="s">
        <v>120</v>
      </c>
      <c r="D86" s="47" t="s">
        <v>16</v>
      </c>
      <c r="E86" s="48">
        <v>30.0</v>
      </c>
      <c r="F86" s="37"/>
      <c r="G86" s="14">
        <f t="shared" si="1"/>
        <v>0</v>
      </c>
      <c r="H86" s="14">
        <f t="shared" si="2"/>
        <v>0</v>
      </c>
      <c r="I86" s="14">
        <f t="shared" si="3"/>
        <v>0</v>
      </c>
      <c r="J86" s="14">
        <f t="shared" si="4"/>
        <v>0</v>
      </c>
      <c r="K86" s="38"/>
      <c r="L86" s="37"/>
      <c r="O86" s="8"/>
      <c r="P86" s="8"/>
    </row>
    <row r="87">
      <c r="A87" s="18">
        <v>35.0</v>
      </c>
      <c r="B87" s="19" t="s">
        <v>123</v>
      </c>
      <c r="C87" s="20" t="s">
        <v>124</v>
      </c>
      <c r="D87" s="20" t="s">
        <v>16</v>
      </c>
      <c r="E87" s="21">
        <v>1000.0</v>
      </c>
      <c r="F87" s="58">
        <f>6669.57*1.15</f>
        <v>7670.0055</v>
      </c>
      <c r="G87" s="23">
        <f t="shared" si="1"/>
        <v>9587.506875</v>
      </c>
      <c r="H87" s="23">
        <f t="shared" si="2"/>
        <v>12463.75894</v>
      </c>
      <c r="I87" s="23">
        <f t="shared" si="3"/>
        <v>13086.94688</v>
      </c>
      <c r="J87" s="23">
        <f t="shared" si="4"/>
        <v>15049.98892</v>
      </c>
      <c r="K87" s="24"/>
      <c r="L87" s="22">
        <v>16000.0</v>
      </c>
      <c r="M87" s="53">
        <v>13000.0</v>
      </c>
      <c r="N87" s="92">
        <v>15000.0</v>
      </c>
      <c r="O87" s="8">
        <f>N87-1.15</f>
        <v>14998.85</v>
      </c>
      <c r="P87" s="8">
        <f>O87/1.05</f>
        <v>14284.61905</v>
      </c>
    </row>
    <row r="88">
      <c r="A88" s="25"/>
      <c r="B88" s="19" t="s">
        <v>125</v>
      </c>
      <c r="C88" s="20" t="s">
        <v>124</v>
      </c>
      <c r="D88" s="20" t="s">
        <v>16</v>
      </c>
      <c r="E88" s="21">
        <v>500.0</v>
      </c>
      <c r="F88" s="29">
        <f>F87/2</f>
        <v>3835.00275</v>
      </c>
      <c r="G88" s="30">
        <f t="shared" si="1"/>
        <v>4793.753438</v>
      </c>
      <c r="H88" s="30">
        <f t="shared" si="2"/>
        <v>6231.879469</v>
      </c>
      <c r="I88" s="30">
        <f t="shared" si="3"/>
        <v>6543.473442</v>
      </c>
      <c r="J88" s="30">
        <f t="shared" si="4"/>
        <v>7524.994459</v>
      </c>
      <c r="K88" s="31"/>
      <c r="L88" s="32">
        <v>8500.0</v>
      </c>
      <c r="O88" s="8"/>
      <c r="P88" s="8"/>
    </row>
    <row r="89">
      <c r="A89" s="33"/>
      <c r="B89" s="10" t="s">
        <v>126</v>
      </c>
      <c r="C89" s="11" t="s">
        <v>124</v>
      </c>
      <c r="D89" s="11" t="s">
        <v>16</v>
      </c>
      <c r="E89" s="12">
        <v>30.0</v>
      </c>
      <c r="F89" s="37">
        <f>F87/32</f>
        <v>239.6876719</v>
      </c>
      <c r="G89" s="14">
        <f t="shared" si="1"/>
        <v>299.6095898</v>
      </c>
      <c r="H89" s="14">
        <f t="shared" si="2"/>
        <v>389.4924668</v>
      </c>
      <c r="I89" s="14">
        <f t="shared" si="3"/>
        <v>408.9670901</v>
      </c>
      <c r="J89" s="14">
        <f t="shared" si="4"/>
        <v>470.3121537</v>
      </c>
      <c r="K89" s="38"/>
      <c r="L89" s="93">
        <v>600.0</v>
      </c>
      <c r="M89" s="92">
        <v>500.0</v>
      </c>
      <c r="N89" s="8">
        <f>M89-1.15</f>
        <v>498.85</v>
      </c>
      <c r="O89" s="8">
        <f>N89/1.05</f>
        <v>475.0952381</v>
      </c>
      <c r="P89" s="8"/>
    </row>
    <row r="90">
      <c r="A90" s="18">
        <v>36.0</v>
      </c>
      <c r="B90" s="84" t="s">
        <v>127</v>
      </c>
      <c r="C90" s="90" t="s">
        <v>128</v>
      </c>
      <c r="D90" s="90" t="s">
        <v>16</v>
      </c>
      <c r="E90" s="90">
        <v>1000.0</v>
      </c>
      <c r="F90" s="81">
        <v>5700.0</v>
      </c>
      <c r="G90" s="82">
        <f t="shared" si="1"/>
        <v>7125</v>
      </c>
      <c r="H90" s="82">
        <f t="shared" si="2"/>
        <v>9262.5</v>
      </c>
      <c r="I90" s="82">
        <f t="shared" si="3"/>
        <v>9725.625</v>
      </c>
      <c r="J90" s="82">
        <f t="shared" si="4"/>
        <v>11184.46875</v>
      </c>
      <c r="K90" s="83"/>
      <c r="L90" s="81">
        <v>12000.0</v>
      </c>
      <c r="O90" s="8"/>
      <c r="P90" s="8"/>
    </row>
    <row r="91">
      <c r="A91" s="91"/>
      <c r="B91" s="61" t="s">
        <v>129</v>
      </c>
      <c r="C91" s="62" t="s">
        <v>128</v>
      </c>
      <c r="D91" s="62" t="s">
        <v>16</v>
      </c>
      <c r="E91" s="62">
        <v>500.0</v>
      </c>
      <c r="F91" s="29">
        <f>F90/2</f>
        <v>2850</v>
      </c>
      <c r="G91" s="30">
        <f t="shared" si="1"/>
        <v>3562.5</v>
      </c>
      <c r="H91" s="30">
        <f t="shared" si="2"/>
        <v>4631.25</v>
      </c>
      <c r="I91" s="30">
        <f t="shared" si="3"/>
        <v>4862.8125</v>
      </c>
      <c r="J91" s="30">
        <f t="shared" si="4"/>
        <v>5592.234375</v>
      </c>
      <c r="K91" s="31"/>
      <c r="L91" s="32">
        <v>6500.0</v>
      </c>
      <c r="O91" s="8"/>
      <c r="P91" s="8"/>
    </row>
    <row r="92">
      <c r="A92" s="9"/>
      <c r="B92" s="51" t="s">
        <v>130</v>
      </c>
      <c r="C92" s="64" t="s">
        <v>128</v>
      </c>
      <c r="D92" s="64" t="s">
        <v>16</v>
      </c>
      <c r="E92" s="64">
        <v>30.0</v>
      </c>
      <c r="F92" s="66">
        <f>F90/32</f>
        <v>178.125</v>
      </c>
      <c r="G92" s="14">
        <f t="shared" si="1"/>
        <v>222.65625</v>
      </c>
      <c r="H92" s="14">
        <f t="shared" si="2"/>
        <v>289.453125</v>
      </c>
      <c r="I92" s="14">
        <f t="shared" si="3"/>
        <v>303.9257813</v>
      </c>
      <c r="J92" s="14">
        <f t="shared" si="4"/>
        <v>349.5146484</v>
      </c>
      <c r="K92" s="56"/>
      <c r="L92" s="54">
        <v>400.0</v>
      </c>
      <c r="O92" s="8"/>
      <c r="P92" s="8"/>
    </row>
    <row r="93">
      <c r="A93" s="9">
        <v>37.0</v>
      </c>
      <c r="B93" s="10" t="s">
        <v>131</v>
      </c>
      <c r="C93" s="11" t="s">
        <v>131</v>
      </c>
      <c r="D93" s="11" t="s">
        <v>13</v>
      </c>
      <c r="E93" s="12">
        <v>1.0</v>
      </c>
      <c r="F93" s="54">
        <v>64.58</v>
      </c>
      <c r="G93" s="55">
        <f t="shared" si="1"/>
        <v>80.725</v>
      </c>
      <c r="H93" s="55">
        <f t="shared" si="2"/>
        <v>104.9425</v>
      </c>
      <c r="I93" s="55">
        <f t="shared" si="3"/>
        <v>110.189625</v>
      </c>
      <c r="J93" s="55">
        <f t="shared" si="4"/>
        <v>126.7180688</v>
      </c>
      <c r="K93" s="56"/>
      <c r="L93" s="54">
        <v>200.0</v>
      </c>
      <c r="O93" s="8"/>
      <c r="P93" s="8"/>
    </row>
    <row r="94">
      <c r="A94" s="18">
        <v>38.0</v>
      </c>
      <c r="B94" s="19" t="s">
        <v>132</v>
      </c>
      <c r="C94" s="20" t="s">
        <v>133</v>
      </c>
      <c r="D94" s="20" t="s">
        <v>16</v>
      </c>
      <c r="E94" s="21">
        <v>1000.0</v>
      </c>
      <c r="F94" s="22">
        <v>6600.0</v>
      </c>
      <c r="G94" s="23">
        <f t="shared" si="1"/>
        <v>8250</v>
      </c>
      <c r="H94" s="23">
        <f t="shared" si="2"/>
        <v>10725</v>
      </c>
      <c r="I94" s="23">
        <f t="shared" si="3"/>
        <v>11261.25</v>
      </c>
      <c r="J94" s="23">
        <f t="shared" si="4"/>
        <v>12950.4375</v>
      </c>
      <c r="K94" s="24"/>
      <c r="L94" s="22">
        <v>14000.0</v>
      </c>
      <c r="O94" s="8"/>
      <c r="P94" s="8"/>
    </row>
    <row r="95">
      <c r="A95" s="25"/>
      <c r="B95" s="19" t="s">
        <v>134</v>
      </c>
      <c r="C95" s="20" t="s">
        <v>133</v>
      </c>
      <c r="D95" s="20" t="s">
        <v>16</v>
      </c>
      <c r="E95" s="21">
        <v>500.0</v>
      </c>
      <c r="F95" s="29">
        <f>F94/2</f>
        <v>3300</v>
      </c>
      <c r="G95" s="30">
        <f t="shared" si="1"/>
        <v>4125</v>
      </c>
      <c r="H95" s="30">
        <f t="shared" si="2"/>
        <v>5362.5</v>
      </c>
      <c r="I95" s="30">
        <f t="shared" si="3"/>
        <v>5630.625</v>
      </c>
      <c r="J95" s="30">
        <f t="shared" si="4"/>
        <v>6475.21875</v>
      </c>
      <c r="K95" s="31"/>
      <c r="L95" s="32">
        <v>7500.0</v>
      </c>
      <c r="O95" s="8"/>
      <c r="P95" s="8"/>
    </row>
    <row r="96">
      <c r="A96" s="33"/>
      <c r="B96" s="10" t="s">
        <v>135</v>
      </c>
      <c r="C96" s="11" t="s">
        <v>133</v>
      </c>
      <c r="D96" s="11" t="s">
        <v>16</v>
      </c>
      <c r="E96" s="12">
        <v>30.0</v>
      </c>
      <c r="F96" s="37">
        <f>F94/32</f>
        <v>206.25</v>
      </c>
      <c r="G96" s="14">
        <f t="shared" si="1"/>
        <v>257.8125</v>
      </c>
      <c r="H96" s="14">
        <f t="shared" si="2"/>
        <v>335.15625</v>
      </c>
      <c r="I96" s="14">
        <f t="shared" si="3"/>
        <v>351.9140625</v>
      </c>
      <c r="J96" s="14">
        <f t="shared" si="4"/>
        <v>404.7011719</v>
      </c>
      <c r="K96" s="38"/>
      <c r="L96" s="13">
        <v>500.0</v>
      </c>
      <c r="O96" s="8"/>
      <c r="P96" s="8"/>
    </row>
    <row r="97">
      <c r="A97" s="18">
        <v>39.0</v>
      </c>
      <c r="B97" s="19" t="s">
        <v>136</v>
      </c>
      <c r="C97" s="20" t="s">
        <v>137</v>
      </c>
      <c r="D97" s="20" t="s">
        <v>16</v>
      </c>
      <c r="E97" s="21">
        <v>1000.0</v>
      </c>
      <c r="F97" s="22">
        <v>2750.0</v>
      </c>
      <c r="G97" s="23">
        <f t="shared" si="1"/>
        <v>3437.5</v>
      </c>
      <c r="H97" s="23">
        <f t="shared" si="2"/>
        <v>4468.75</v>
      </c>
      <c r="I97" s="23">
        <f t="shared" si="3"/>
        <v>4692.1875</v>
      </c>
      <c r="J97" s="23">
        <f t="shared" si="4"/>
        <v>5396.015625</v>
      </c>
      <c r="K97" s="24"/>
      <c r="L97" s="22">
        <v>6000.0</v>
      </c>
      <c r="O97" s="8"/>
      <c r="P97" s="8"/>
    </row>
    <row r="98">
      <c r="A98" s="25"/>
      <c r="B98" s="19" t="s">
        <v>138</v>
      </c>
      <c r="C98" s="20" t="s">
        <v>137</v>
      </c>
      <c r="D98" s="20" t="s">
        <v>16</v>
      </c>
      <c r="E98" s="21">
        <v>500.0</v>
      </c>
      <c r="F98" s="29">
        <f>F97/2</f>
        <v>1375</v>
      </c>
      <c r="G98" s="30">
        <f t="shared" si="1"/>
        <v>1718.75</v>
      </c>
      <c r="H98" s="30">
        <f t="shared" si="2"/>
        <v>2234.375</v>
      </c>
      <c r="I98" s="30">
        <f t="shared" si="3"/>
        <v>2346.09375</v>
      </c>
      <c r="J98" s="30">
        <f t="shared" si="4"/>
        <v>2698.007813</v>
      </c>
      <c r="K98" s="31"/>
      <c r="L98" s="32">
        <v>3500.0</v>
      </c>
      <c r="O98" s="8"/>
      <c r="P98" s="8"/>
    </row>
    <row r="99">
      <c r="A99" s="33"/>
      <c r="B99" s="10" t="s">
        <v>139</v>
      </c>
      <c r="C99" s="11" t="s">
        <v>137</v>
      </c>
      <c r="D99" s="11" t="s">
        <v>16</v>
      </c>
      <c r="E99" s="12">
        <v>30.0</v>
      </c>
      <c r="F99" s="37">
        <f>F97/31</f>
        <v>88.70967742</v>
      </c>
      <c r="G99" s="14">
        <f t="shared" si="1"/>
        <v>110.8870968</v>
      </c>
      <c r="H99" s="14">
        <f t="shared" si="2"/>
        <v>144.1532258</v>
      </c>
      <c r="I99" s="14">
        <f t="shared" si="3"/>
        <v>151.3608871</v>
      </c>
      <c r="J99" s="14">
        <f t="shared" si="4"/>
        <v>174.0650202</v>
      </c>
      <c r="K99" s="38"/>
      <c r="L99" s="13">
        <v>300.0</v>
      </c>
      <c r="O99" s="8"/>
      <c r="P99" s="8"/>
    </row>
    <row r="100">
      <c r="A100" s="18">
        <v>40.0</v>
      </c>
      <c r="B100" s="94" t="s">
        <v>140</v>
      </c>
      <c r="C100" s="20" t="s">
        <v>141</v>
      </c>
      <c r="D100" s="20" t="s">
        <v>16</v>
      </c>
      <c r="E100" s="95">
        <v>1000.0</v>
      </c>
      <c r="F100" s="22">
        <v>3851.86</v>
      </c>
      <c r="G100" s="23">
        <f t="shared" si="1"/>
        <v>4814.825</v>
      </c>
      <c r="H100" s="23">
        <f t="shared" si="2"/>
        <v>6259.2725</v>
      </c>
      <c r="I100" s="23">
        <f t="shared" si="3"/>
        <v>6572.236125</v>
      </c>
      <c r="J100" s="23">
        <f t="shared" si="4"/>
        <v>7558.071544</v>
      </c>
      <c r="K100" s="24"/>
      <c r="L100" s="22">
        <v>8500.0</v>
      </c>
      <c r="O100" s="8"/>
      <c r="P100" s="8"/>
    </row>
    <row r="101">
      <c r="A101" s="25"/>
      <c r="B101" s="94" t="s">
        <v>142</v>
      </c>
      <c r="C101" s="20" t="s">
        <v>141</v>
      </c>
      <c r="D101" s="20" t="s">
        <v>16</v>
      </c>
      <c r="E101" s="95">
        <v>500.0</v>
      </c>
      <c r="F101" s="29">
        <f>F100/2</f>
        <v>1925.93</v>
      </c>
      <c r="G101" s="30">
        <f t="shared" si="1"/>
        <v>2407.4125</v>
      </c>
      <c r="H101" s="30">
        <f t="shared" si="2"/>
        <v>3129.63625</v>
      </c>
      <c r="I101" s="30">
        <f t="shared" si="3"/>
        <v>3286.118063</v>
      </c>
      <c r="J101" s="30">
        <f t="shared" si="4"/>
        <v>3779.035772</v>
      </c>
      <c r="K101" s="31"/>
      <c r="L101" s="32">
        <v>4500.0</v>
      </c>
      <c r="O101" s="8"/>
      <c r="P101" s="8"/>
    </row>
    <row r="102">
      <c r="A102" s="33"/>
      <c r="B102" s="80" t="s">
        <v>143</v>
      </c>
      <c r="C102" s="11" t="s">
        <v>141</v>
      </c>
      <c r="D102" s="11" t="s">
        <v>16</v>
      </c>
      <c r="E102" s="64">
        <v>30.0</v>
      </c>
      <c r="F102" s="37">
        <f>F100/32</f>
        <v>120.370625</v>
      </c>
      <c r="G102" s="14">
        <f t="shared" si="1"/>
        <v>150.4632813</v>
      </c>
      <c r="H102" s="14">
        <f t="shared" si="2"/>
        <v>195.6022656</v>
      </c>
      <c r="I102" s="14">
        <f t="shared" si="3"/>
        <v>205.3823789</v>
      </c>
      <c r="J102" s="14">
        <f t="shared" si="4"/>
        <v>236.1897357</v>
      </c>
      <c r="K102" s="38"/>
      <c r="L102" s="13">
        <v>400.0</v>
      </c>
      <c r="O102" s="8"/>
      <c r="P102" s="8"/>
    </row>
    <row r="103">
      <c r="A103" s="9">
        <v>41.0</v>
      </c>
      <c r="B103" s="10" t="s">
        <v>144</v>
      </c>
      <c r="C103" s="11" t="s">
        <v>144</v>
      </c>
      <c r="D103" s="64" t="s">
        <v>13</v>
      </c>
      <c r="E103" s="64">
        <v>1.0</v>
      </c>
      <c r="F103" s="54">
        <v>78.33</v>
      </c>
      <c r="G103" s="55">
        <f t="shared" si="1"/>
        <v>97.9125</v>
      </c>
      <c r="H103" s="55">
        <f t="shared" si="2"/>
        <v>127.28625</v>
      </c>
      <c r="I103" s="55">
        <f t="shared" si="3"/>
        <v>133.6505625</v>
      </c>
      <c r="J103" s="55">
        <f t="shared" si="4"/>
        <v>153.6981469</v>
      </c>
      <c r="K103" s="56"/>
      <c r="L103" s="54">
        <v>200.0</v>
      </c>
      <c r="O103" s="8"/>
      <c r="P103" s="8"/>
    </row>
    <row r="104">
      <c r="A104" s="18">
        <v>42.0</v>
      </c>
      <c r="B104" s="84" t="s">
        <v>145</v>
      </c>
      <c r="C104" s="40" t="s">
        <v>146</v>
      </c>
      <c r="D104" s="40" t="s">
        <v>16</v>
      </c>
      <c r="E104" s="41">
        <v>1000.0</v>
      </c>
      <c r="F104" s="81">
        <v>23000.0</v>
      </c>
      <c r="G104" s="82">
        <f t="shared" si="1"/>
        <v>28750</v>
      </c>
      <c r="H104" s="82">
        <f t="shared" si="2"/>
        <v>37375</v>
      </c>
      <c r="I104" s="82">
        <f t="shared" si="3"/>
        <v>39243.75</v>
      </c>
      <c r="J104" s="82">
        <f t="shared" si="4"/>
        <v>45130.3125</v>
      </c>
      <c r="K104" s="83"/>
      <c r="L104" s="81">
        <v>46000.0</v>
      </c>
      <c r="O104" s="8"/>
      <c r="P104" s="8"/>
    </row>
    <row r="105">
      <c r="A105" s="25"/>
      <c r="B105" s="61" t="s">
        <v>147</v>
      </c>
      <c r="C105" s="62" t="s">
        <v>146</v>
      </c>
      <c r="D105" s="62" t="s">
        <v>16</v>
      </c>
      <c r="E105" s="63">
        <v>500.0</v>
      </c>
      <c r="F105" s="29">
        <f>F104/2</f>
        <v>11500</v>
      </c>
      <c r="G105" s="30">
        <f t="shared" si="1"/>
        <v>14375</v>
      </c>
      <c r="H105" s="30">
        <f t="shared" si="2"/>
        <v>18687.5</v>
      </c>
      <c r="I105" s="30">
        <f t="shared" si="3"/>
        <v>19621.875</v>
      </c>
      <c r="J105" s="30">
        <f t="shared" si="4"/>
        <v>22565.15625</v>
      </c>
      <c r="K105" s="31"/>
      <c r="L105" s="32">
        <v>23500.0</v>
      </c>
      <c r="O105" s="8"/>
      <c r="P105" s="8"/>
    </row>
    <row r="106">
      <c r="A106" s="33"/>
      <c r="B106" s="51" t="s">
        <v>148</v>
      </c>
      <c r="C106" s="64" t="s">
        <v>146</v>
      </c>
      <c r="D106" s="64" t="s">
        <v>16</v>
      </c>
      <c r="E106" s="65">
        <v>30.0</v>
      </c>
      <c r="F106" s="66">
        <f>F104/32</f>
        <v>718.75</v>
      </c>
      <c r="G106" s="14">
        <f t="shared" si="1"/>
        <v>898.4375</v>
      </c>
      <c r="H106" s="14">
        <f t="shared" si="2"/>
        <v>1167.96875</v>
      </c>
      <c r="I106" s="14">
        <f t="shared" si="3"/>
        <v>1226.367188</v>
      </c>
      <c r="J106" s="14">
        <f t="shared" si="4"/>
        <v>1410.322266</v>
      </c>
      <c r="K106" s="56"/>
      <c r="L106" s="54">
        <v>1600.0</v>
      </c>
      <c r="O106" s="8"/>
      <c r="P106" s="8"/>
    </row>
    <row r="107">
      <c r="A107" s="18">
        <v>43.0</v>
      </c>
      <c r="B107" s="19" t="s">
        <v>149</v>
      </c>
      <c r="C107" s="20" t="s">
        <v>150</v>
      </c>
      <c r="D107" s="20" t="s">
        <v>16</v>
      </c>
      <c r="E107" s="60">
        <v>1000.0</v>
      </c>
      <c r="F107" s="58">
        <f>8424.78*1.15</f>
        <v>9688.497</v>
      </c>
      <c r="G107" s="23">
        <f t="shared" si="1"/>
        <v>12110.62125</v>
      </c>
      <c r="H107" s="23">
        <f t="shared" si="2"/>
        <v>15743.80763</v>
      </c>
      <c r="I107" s="23">
        <f t="shared" si="3"/>
        <v>16530.99801</v>
      </c>
      <c r="J107" s="23">
        <f t="shared" si="4"/>
        <v>19010.64771</v>
      </c>
      <c r="K107" s="24"/>
      <c r="L107" s="22">
        <v>20000.0</v>
      </c>
      <c r="M107" s="53">
        <v>16500.0</v>
      </c>
      <c r="N107" s="92">
        <v>19000.0</v>
      </c>
      <c r="O107" s="8">
        <f>N107-1.15</f>
        <v>18998.85</v>
      </c>
      <c r="P107" s="8">
        <f>O107/1.05</f>
        <v>18094.14286</v>
      </c>
    </row>
    <row r="108">
      <c r="A108" s="25"/>
      <c r="B108" s="19" t="s">
        <v>151</v>
      </c>
      <c r="C108" s="20" t="s">
        <v>150</v>
      </c>
      <c r="D108" s="20" t="s">
        <v>16</v>
      </c>
      <c r="E108" s="60">
        <v>500.0</v>
      </c>
      <c r="F108" s="29">
        <f>F107/2</f>
        <v>4844.2485</v>
      </c>
      <c r="G108" s="30">
        <f t="shared" si="1"/>
        <v>6055.310625</v>
      </c>
      <c r="H108" s="30">
        <f t="shared" si="2"/>
        <v>7871.903813</v>
      </c>
      <c r="I108" s="30">
        <f t="shared" si="3"/>
        <v>8265.499003</v>
      </c>
      <c r="J108" s="30">
        <f t="shared" si="4"/>
        <v>9505.323854</v>
      </c>
      <c r="K108" s="31"/>
      <c r="L108" s="32">
        <v>10500.0</v>
      </c>
      <c r="O108" s="8"/>
      <c r="P108" s="8"/>
    </row>
    <row r="109">
      <c r="A109" s="33"/>
      <c r="B109" s="10" t="s">
        <v>152</v>
      </c>
      <c r="C109" s="11" t="s">
        <v>150</v>
      </c>
      <c r="D109" s="11" t="s">
        <v>16</v>
      </c>
      <c r="E109" s="12">
        <v>30.0</v>
      </c>
      <c r="F109" s="37">
        <f>F107/32</f>
        <v>302.7655313</v>
      </c>
      <c r="G109" s="14">
        <f t="shared" si="1"/>
        <v>378.4569141</v>
      </c>
      <c r="H109" s="14">
        <f t="shared" si="2"/>
        <v>491.9939883</v>
      </c>
      <c r="I109" s="14">
        <f t="shared" si="3"/>
        <v>516.5936877</v>
      </c>
      <c r="J109" s="14">
        <f t="shared" si="4"/>
        <v>594.0827408</v>
      </c>
      <c r="K109" s="38"/>
      <c r="L109" s="93">
        <v>700.0</v>
      </c>
      <c r="M109" s="53">
        <v>600.0</v>
      </c>
      <c r="O109" s="8"/>
      <c r="P109" s="8"/>
    </row>
    <row r="110">
      <c r="A110" s="96">
        <v>44.0</v>
      </c>
      <c r="B110" s="97" t="s">
        <v>153</v>
      </c>
      <c r="C110" s="98" t="s">
        <v>150</v>
      </c>
      <c r="D110" s="98" t="s">
        <v>16</v>
      </c>
      <c r="E110" s="99">
        <v>3000.0</v>
      </c>
      <c r="F110" s="100"/>
      <c r="G110" s="101">
        <f t="shared" si="1"/>
        <v>0</v>
      </c>
      <c r="H110" s="101">
        <f t="shared" si="2"/>
        <v>0</v>
      </c>
      <c r="I110" s="101">
        <f t="shared" si="3"/>
        <v>0</v>
      </c>
      <c r="J110" s="101">
        <f t="shared" si="4"/>
        <v>0</v>
      </c>
      <c r="K110" s="102"/>
      <c r="L110" s="100"/>
      <c r="O110" s="8"/>
      <c r="P110" s="8"/>
    </row>
    <row r="111">
      <c r="A111" s="103">
        <v>45.0</v>
      </c>
      <c r="B111" s="59" t="s">
        <v>154</v>
      </c>
      <c r="C111" s="95" t="s">
        <v>155</v>
      </c>
      <c r="D111" s="95" t="s">
        <v>16</v>
      </c>
      <c r="E111" s="60">
        <v>1000.0</v>
      </c>
      <c r="F111" s="58"/>
      <c r="G111" s="23">
        <f t="shared" si="1"/>
        <v>0</v>
      </c>
      <c r="H111" s="23">
        <f t="shared" si="2"/>
        <v>0</v>
      </c>
      <c r="I111" s="23">
        <f t="shared" si="3"/>
        <v>0</v>
      </c>
      <c r="J111" s="23">
        <f t="shared" si="4"/>
        <v>0</v>
      </c>
      <c r="K111" s="24"/>
      <c r="L111" s="58"/>
      <c r="O111" s="8"/>
      <c r="P111" s="8"/>
    </row>
    <row r="112">
      <c r="A112" s="25"/>
      <c r="B112" s="59" t="s">
        <v>154</v>
      </c>
      <c r="C112" s="62" t="s">
        <v>155</v>
      </c>
      <c r="D112" s="62" t="s">
        <v>16</v>
      </c>
      <c r="E112" s="63">
        <v>500.0</v>
      </c>
      <c r="F112" s="29"/>
      <c r="G112" s="30">
        <f t="shared" si="1"/>
        <v>0</v>
      </c>
      <c r="H112" s="30">
        <f t="shared" si="2"/>
        <v>0</v>
      </c>
      <c r="I112" s="30">
        <f t="shared" si="3"/>
        <v>0</v>
      </c>
      <c r="J112" s="30">
        <f t="shared" si="4"/>
        <v>0</v>
      </c>
      <c r="K112" s="31"/>
      <c r="L112" s="29"/>
      <c r="O112" s="8"/>
      <c r="P112" s="8"/>
    </row>
    <row r="113">
      <c r="A113" s="104"/>
      <c r="B113" s="105" t="s">
        <v>156</v>
      </c>
      <c r="C113" s="106" t="s">
        <v>155</v>
      </c>
      <c r="D113" s="106" t="s">
        <v>16</v>
      </c>
      <c r="E113" s="107">
        <v>30.0</v>
      </c>
      <c r="F113" s="108"/>
      <c r="G113" s="14">
        <f t="shared" si="1"/>
        <v>0</v>
      </c>
      <c r="H113" s="14">
        <f t="shared" si="2"/>
        <v>0</v>
      </c>
      <c r="I113" s="14">
        <f t="shared" si="3"/>
        <v>0</v>
      </c>
      <c r="J113" s="14">
        <f t="shared" si="4"/>
        <v>0</v>
      </c>
      <c r="K113" s="109"/>
      <c r="L113" s="108"/>
      <c r="O113" s="8"/>
      <c r="P113" s="8"/>
    </row>
    <row r="114">
      <c r="A114" s="18">
        <v>46.0</v>
      </c>
      <c r="B114" s="19" t="s">
        <v>157</v>
      </c>
      <c r="C114" s="20" t="s">
        <v>158</v>
      </c>
      <c r="D114" s="20" t="s">
        <v>16</v>
      </c>
      <c r="E114" s="21">
        <v>1000.0</v>
      </c>
      <c r="F114" s="58">
        <f>5739.13*1.15</f>
        <v>6599.9995</v>
      </c>
      <c r="G114" s="23">
        <f t="shared" si="1"/>
        <v>8249.999375</v>
      </c>
      <c r="H114" s="23">
        <f t="shared" si="2"/>
        <v>10724.99919</v>
      </c>
      <c r="I114" s="23">
        <f t="shared" si="3"/>
        <v>11261.24915</v>
      </c>
      <c r="J114" s="23">
        <f t="shared" si="4"/>
        <v>12950.43652</v>
      </c>
      <c r="K114" s="24"/>
      <c r="L114" s="22">
        <v>14000.0</v>
      </c>
      <c r="O114" s="8"/>
      <c r="P114" s="8"/>
    </row>
    <row r="115">
      <c r="A115" s="25"/>
      <c r="B115" s="19" t="s">
        <v>159</v>
      </c>
      <c r="C115" s="20" t="s">
        <v>158</v>
      </c>
      <c r="D115" s="20" t="s">
        <v>16</v>
      </c>
      <c r="E115" s="21">
        <v>500.0</v>
      </c>
      <c r="F115" s="29">
        <f>F114/2</f>
        <v>3299.99975</v>
      </c>
      <c r="G115" s="30">
        <f t="shared" si="1"/>
        <v>4124.999688</v>
      </c>
      <c r="H115" s="30">
        <f t="shared" si="2"/>
        <v>5362.499594</v>
      </c>
      <c r="I115" s="30">
        <f t="shared" si="3"/>
        <v>5630.624573</v>
      </c>
      <c r="J115" s="30">
        <f t="shared" si="4"/>
        <v>6475.218259</v>
      </c>
      <c r="K115" s="31"/>
      <c r="L115" s="32">
        <v>7500.0</v>
      </c>
      <c r="O115" s="8"/>
      <c r="P115" s="8"/>
    </row>
    <row r="116">
      <c r="A116" s="33"/>
      <c r="B116" s="10" t="s">
        <v>160</v>
      </c>
      <c r="C116" s="11" t="s">
        <v>158</v>
      </c>
      <c r="D116" s="11" t="s">
        <v>16</v>
      </c>
      <c r="E116" s="12">
        <v>30.0</v>
      </c>
      <c r="F116" s="37">
        <f>F114/32</f>
        <v>206.2499844</v>
      </c>
      <c r="G116" s="14">
        <f t="shared" si="1"/>
        <v>257.8124805</v>
      </c>
      <c r="H116" s="14">
        <f t="shared" si="2"/>
        <v>335.1562246</v>
      </c>
      <c r="I116" s="14">
        <f t="shared" si="3"/>
        <v>351.9140358</v>
      </c>
      <c r="J116" s="14">
        <f t="shared" si="4"/>
        <v>404.7011412</v>
      </c>
      <c r="K116" s="38"/>
      <c r="L116" s="13">
        <v>500.0</v>
      </c>
      <c r="O116" s="8"/>
      <c r="P116" s="8"/>
    </row>
    <row r="117">
      <c r="A117" s="18">
        <v>47.0</v>
      </c>
      <c r="B117" s="110" t="s">
        <v>161</v>
      </c>
      <c r="C117" s="20" t="s">
        <v>162</v>
      </c>
      <c r="D117" s="20" t="s">
        <v>16</v>
      </c>
      <c r="E117" s="21">
        <v>1000.0</v>
      </c>
      <c r="F117" s="58">
        <f>7913.04*1.15</f>
        <v>9099.996</v>
      </c>
      <c r="G117" s="23">
        <f t="shared" si="1"/>
        <v>11374.995</v>
      </c>
      <c r="H117" s="23">
        <f t="shared" si="2"/>
        <v>14787.4935</v>
      </c>
      <c r="I117" s="23">
        <f t="shared" si="3"/>
        <v>15526.86818</v>
      </c>
      <c r="J117" s="23">
        <f t="shared" si="4"/>
        <v>17855.8984</v>
      </c>
      <c r="K117" s="24"/>
      <c r="L117" s="22">
        <v>18000.0</v>
      </c>
      <c r="O117" s="8"/>
      <c r="P117" s="8"/>
    </row>
    <row r="118">
      <c r="A118" s="25"/>
      <c r="B118" s="19" t="s">
        <v>163</v>
      </c>
      <c r="C118" s="20" t="s">
        <v>162</v>
      </c>
      <c r="D118" s="19" t="s">
        <v>16</v>
      </c>
      <c r="E118" s="21">
        <v>500.0</v>
      </c>
      <c r="F118" s="29">
        <f>F117/2</f>
        <v>4549.998</v>
      </c>
      <c r="G118" s="30">
        <f t="shared" si="1"/>
        <v>5687.4975</v>
      </c>
      <c r="H118" s="30">
        <f t="shared" si="2"/>
        <v>7393.74675</v>
      </c>
      <c r="I118" s="30">
        <f t="shared" si="3"/>
        <v>7763.434088</v>
      </c>
      <c r="J118" s="30">
        <f t="shared" si="4"/>
        <v>8927.949201</v>
      </c>
      <c r="K118" s="31"/>
      <c r="L118" s="32">
        <v>9500.0</v>
      </c>
      <c r="O118" s="8"/>
      <c r="P118" s="8"/>
    </row>
    <row r="119">
      <c r="A119" s="33"/>
      <c r="B119" s="10" t="s">
        <v>164</v>
      </c>
      <c r="C119" s="11" t="s">
        <v>162</v>
      </c>
      <c r="D119" s="11" t="s">
        <v>16</v>
      </c>
      <c r="E119" s="12">
        <v>30.0</v>
      </c>
      <c r="F119" s="37">
        <f>F117/32</f>
        <v>284.374875</v>
      </c>
      <c r="G119" s="14">
        <f t="shared" si="1"/>
        <v>355.4685938</v>
      </c>
      <c r="H119" s="14">
        <f t="shared" si="2"/>
        <v>462.1091719</v>
      </c>
      <c r="I119" s="14">
        <f t="shared" si="3"/>
        <v>485.2146305</v>
      </c>
      <c r="J119" s="14">
        <f t="shared" si="4"/>
        <v>557.996825</v>
      </c>
      <c r="K119" s="38"/>
      <c r="L119" s="13">
        <v>600.0</v>
      </c>
      <c r="O119" s="8"/>
      <c r="P119" s="8"/>
    </row>
    <row r="120">
      <c r="A120" s="18">
        <v>48.0</v>
      </c>
      <c r="B120" s="19" t="s">
        <v>165</v>
      </c>
      <c r="C120" s="20" t="s">
        <v>166</v>
      </c>
      <c r="D120" s="20" t="s">
        <v>16</v>
      </c>
      <c r="E120" s="21">
        <v>1000.0</v>
      </c>
      <c r="F120" s="58">
        <f>9043.82*1.15</f>
        <v>10400.393</v>
      </c>
      <c r="G120" s="23">
        <f t="shared" si="1"/>
        <v>13000.49125</v>
      </c>
      <c r="H120" s="23">
        <f t="shared" si="2"/>
        <v>16900.63863</v>
      </c>
      <c r="I120" s="23">
        <f t="shared" si="3"/>
        <v>17745.67056</v>
      </c>
      <c r="J120" s="23">
        <f t="shared" si="4"/>
        <v>20407.52114</v>
      </c>
      <c r="K120" s="24"/>
      <c r="L120" s="22">
        <v>21000.0</v>
      </c>
      <c r="O120" s="8"/>
      <c r="P120" s="8"/>
    </row>
    <row r="121">
      <c r="A121" s="25"/>
      <c r="B121" s="19" t="s">
        <v>167</v>
      </c>
      <c r="C121" s="20" t="s">
        <v>166</v>
      </c>
      <c r="D121" s="20" t="s">
        <v>16</v>
      </c>
      <c r="E121" s="21">
        <v>500.0</v>
      </c>
      <c r="F121" s="29">
        <f>F120/2</f>
        <v>5200.1965</v>
      </c>
      <c r="G121" s="30">
        <f t="shared" si="1"/>
        <v>6500.245625</v>
      </c>
      <c r="H121" s="30">
        <f t="shared" si="2"/>
        <v>8450.319313</v>
      </c>
      <c r="I121" s="30">
        <f t="shared" si="3"/>
        <v>8872.835278</v>
      </c>
      <c r="J121" s="30">
        <f t="shared" si="4"/>
        <v>10203.76057</v>
      </c>
      <c r="K121" s="31"/>
      <c r="L121" s="32">
        <v>11500.0</v>
      </c>
      <c r="O121" s="8"/>
      <c r="P121" s="8"/>
    </row>
    <row r="122">
      <c r="A122" s="33"/>
      <c r="B122" s="10" t="s">
        <v>168</v>
      </c>
      <c r="C122" s="11" t="s">
        <v>166</v>
      </c>
      <c r="D122" s="11" t="s">
        <v>16</v>
      </c>
      <c r="E122" s="12">
        <v>30.0</v>
      </c>
      <c r="F122" s="37">
        <f>F120/32</f>
        <v>325.0122813</v>
      </c>
      <c r="G122" s="14">
        <f t="shared" si="1"/>
        <v>406.2653516</v>
      </c>
      <c r="H122" s="14">
        <f t="shared" si="2"/>
        <v>528.144957</v>
      </c>
      <c r="I122" s="14">
        <f t="shared" si="3"/>
        <v>554.5522049</v>
      </c>
      <c r="J122" s="14">
        <f t="shared" si="4"/>
        <v>637.7350356</v>
      </c>
      <c r="K122" s="38"/>
      <c r="L122" s="13">
        <v>700.0</v>
      </c>
      <c r="O122" s="8"/>
      <c r="P122" s="8"/>
    </row>
    <row r="123">
      <c r="A123" s="18">
        <v>49.0</v>
      </c>
      <c r="B123" s="84" t="s">
        <v>169</v>
      </c>
      <c r="C123" s="40" t="s">
        <v>170</v>
      </c>
      <c r="D123" s="40" t="s">
        <v>16</v>
      </c>
      <c r="E123" s="85">
        <v>1000.0</v>
      </c>
      <c r="F123" s="89">
        <f>5991.3*1.15</f>
        <v>6889.995</v>
      </c>
      <c r="G123" s="82">
        <f t="shared" si="1"/>
        <v>8612.49375</v>
      </c>
      <c r="H123" s="82">
        <f t="shared" si="2"/>
        <v>11196.24188</v>
      </c>
      <c r="I123" s="82">
        <f t="shared" si="3"/>
        <v>11756.05397</v>
      </c>
      <c r="J123" s="82">
        <f t="shared" si="4"/>
        <v>13519.46206</v>
      </c>
      <c r="K123" s="83"/>
      <c r="L123" s="81">
        <v>14500.0</v>
      </c>
      <c r="O123" s="8"/>
      <c r="P123" s="8"/>
    </row>
    <row r="124">
      <c r="A124" s="25"/>
      <c r="B124" s="61" t="s">
        <v>171</v>
      </c>
      <c r="C124" s="62" t="s">
        <v>170</v>
      </c>
      <c r="D124" s="62" t="s">
        <v>16</v>
      </c>
      <c r="E124" s="63">
        <v>500.0</v>
      </c>
      <c r="F124" s="29">
        <f>F123/2</f>
        <v>3444.9975</v>
      </c>
      <c r="G124" s="30">
        <f t="shared" si="1"/>
        <v>4306.246875</v>
      </c>
      <c r="H124" s="30">
        <f t="shared" si="2"/>
        <v>5598.120938</v>
      </c>
      <c r="I124" s="30">
        <f t="shared" si="3"/>
        <v>5878.026984</v>
      </c>
      <c r="J124" s="30">
        <f t="shared" si="4"/>
        <v>6759.731032</v>
      </c>
      <c r="K124" s="31"/>
      <c r="L124" s="32">
        <v>7700.0</v>
      </c>
      <c r="O124" s="8"/>
      <c r="P124" s="8"/>
    </row>
    <row r="125">
      <c r="A125" s="33"/>
      <c r="B125" s="51" t="s">
        <v>172</v>
      </c>
      <c r="C125" s="64" t="s">
        <v>170</v>
      </c>
      <c r="D125" s="64" t="s">
        <v>16</v>
      </c>
      <c r="E125" s="65">
        <v>30.0</v>
      </c>
      <c r="F125" s="66">
        <f>F123/32</f>
        <v>215.3123438</v>
      </c>
      <c r="G125" s="14">
        <f t="shared" si="1"/>
        <v>269.1404297</v>
      </c>
      <c r="H125" s="14">
        <f t="shared" si="2"/>
        <v>349.8825586</v>
      </c>
      <c r="I125" s="14">
        <f t="shared" si="3"/>
        <v>367.3766865</v>
      </c>
      <c r="J125" s="14">
        <f t="shared" si="4"/>
        <v>422.4831895</v>
      </c>
      <c r="K125" s="56"/>
      <c r="L125" s="54">
        <v>550.0</v>
      </c>
      <c r="O125" s="8"/>
      <c r="P125" s="8"/>
    </row>
    <row r="126">
      <c r="A126" s="9">
        <v>50.0</v>
      </c>
      <c r="B126" s="80" t="s">
        <v>173</v>
      </c>
      <c r="C126" s="11" t="s">
        <v>173</v>
      </c>
      <c r="D126" s="64" t="s">
        <v>13</v>
      </c>
      <c r="E126" s="64">
        <v>1.0</v>
      </c>
      <c r="F126" s="54">
        <v>56.66</v>
      </c>
      <c r="G126" s="55">
        <f t="shared" si="1"/>
        <v>70.825</v>
      </c>
      <c r="H126" s="55">
        <f t="shared" si="2"/>
        <v>92.0725</v>
      </c>
      <c r="I126" s="55">
        <f t="shared" si="3"/>
        <v>96.676125</v>
      </c>
      <c r="J126" s="55">
        <f t="shared" si="4"/>
        <v>111.1775438</v>
      </c>
      <c r="K126" s="56"/>
      <c r="L126" s="54">
        <v>200.0</v>
      </c>
      <c r="O126" s="8"/>
      <c r="P126" s="8"/>
    </row>
    <row r="127">
      <c r="A127" s="18">
        <v>51.0</v>
      </c>
      <c r="B127" s="19" t="s">
        <v>174</v>
      </c>
      <c r="C127" s="20" t="s">
        <v>175</v>
      </c>
      <c r="D127" s="20" t="s">
        <v>16</v>
      </c>
      <c r="E127" s="21">
        <v>750.0</v>
      </c>
      <c r="F127" s="58"/>
      <c r="G127" s="23">
        <f t="shared" si="1"/>
        <v>0</v>
      </c>
      <c r="H127" s="23">
        <f t="shared" si="2"/>
        <v>0</v>
      </c>
      <c r="I127" s="23">
        <f t="shared" si="3"/>
        <v>0</v>
      </c>
      <c r="J127" s="23">
        <f t="shared" si="4"/>
        <v>0</v>
      </c>
      <c r="K127" s="24"/>
      <c r="L127" s="58"/>
      <c r="O127" s="8"/>
      <c r="P127" s="8"/>
    </row>
    <row r="128">
      <c r="A128" s="33"/>
      <c r="B128" s="10" t="s">
        <v>176</v>
      </c>
      <c r="C128" s="11" t="s">
        <v>175</v>
      </c>
      <c r="D128" s="11" t="s">
        <v>16</v>
      </c>
      <c r="E128" s="12">
        <v>187.5</v>
      </c>
      <c r="F128" s="37"/>
      <c r="G128" s="14">
        <f t="shared" si="1"/>
        <v>0</v>
      </c>
      <c r="H128" s="14">
        <f t="shared" si="2"/>
        <v>0</v>
      </c>
      <c r="I128" s="14">
        <f t="shared" si="3"/>
        <v>0</v>
      </c>
      <c r="J128" s="14">
        <f t="shared" si="4"/>
        <v>0</v>
      </c>
      <c r="K128" s="38"/>
      <c r="L128" s="37"/>
      <c r="O128" s="8"/>
      <c r="P128" s="8"/>
    </row>
    <row r="129">
      <c r="A129" s="18">
        <v>52.0</v>
      </c>
      <c r="B129" s="19" t="s">
        <v>177</v>
      </c>
      <c r="C129" s="20" t="s">
        <v>178</v>
      </c>
      <c r="D129" s="20" t="s">
        <v>16</v>
      </c>
      <c r="E129" s="21">
        <v>1000.0</v>
      </c>
      <c r="F129" s="58">
        <f>3639.13*1.15</f>
        <v>4184.9995</v>
      </c>
      <c r="G129" s="23">
        <f t="shared" si="1"/>
        <v>5231.249375</v>
      </c>
      <c r="H129" s="23">
        <f t="shared" si="2"/>
        <v>6800.624188</v>
      </c>
      <c r="I129" s="23">
        <f t="shared" si="3"/>
        <v>7140.655397</v>
      </c>
      <c r="J129" s="23">
        <f t="shared" si="4"/>
        <v>8211.753706</v>
      </c>
      <c r="K129" s="24"/>
      <c r="L129" s="22">
        <v>9000.0</v>
      </c>
      <c r="O129" s="8"/>
      <c r="P129" s="8"/>
    </row>
    <row r="130">
      <c r="A130" s="25"/>
      <c r="B130" s="19" t="s">
        <v>179</v>
      </c>
      <c r="C130" s="20" t="s">
        <v>178</v>
      </c>
      <c r="D130" s="20" t="s">
        <v>16</v>
      </c>
      <c r="E130" s="21">
        <v>500.0</v>
      </c>
      <c r="F130" s="29">
        <f>F129/2</f>
        <v>2092.49975</v>
      </c>
      <c r="G130" s="30">
        <f t="shared" si="1"/>
        <v>2615.624688</v>
      </c>
      <c r="H130" s="30">
        <f t="shared" si="2"/>
        <v>3400.312094</v>
      </c>
      <c r="I130" s="30">
        <f t="shared" si="3"/>
        <v>3570.327698</v>
      </c>
      <c r="J130" s="30">
        <f t="shared" si="4"/>
        <v>4105.876853</v>
      </c>
      <c r="K130" s="31"/>
      <c r="L130" s="32">
        <v>5000.0</v>
      </c>
      <c r="O130" s="8"/>
      <c r="P130" s="8"/>
    </row>
    <row r="131">
      <c r="A131" s="33"/>
      <c r="B131" s="10" t="s">
        <v>180</v>
      </c>
      <c r="C131" s="11" t="s">
        <v>178</v>
      </c>
      <c r="D131" s="11" t="s">
        <v>16</v>
      </c>
      <c r="E131" s="12">
        <v>30.0</v>
      </c>
      <c r="F131" s="37">
        <f>F129/32</f>
        <v>130.7812344</v>
      </c>
      <c r="G131" s="14">
        <f t="shared" si="1"/>
        <v>163.476543</v>
      </c>
      <c r="H131" s="14">
        <f t="shared" si="2"/>
        <v>212.5195059</v>
      </c>
      <c r="I131" s="14">
        <f t="shared" si="3"/>
        <v>223.1454812</v>
      </c>
      <c r="J131" s="14">
        <f t="shared" si="4"/>
        <v>256.6173033</v>
      </c>
      <c r="K131" s="38"/>
      <c r="L131" s="13">
        <v>300.0</v>
      </c>
      <c r="O131" s="8"/>
      <c r="P131" s="8"/>
    </row>
    <row r="132">
      <c r="A132" s="18">
        <v>53.0</v>
      </c>
      <c r="B132" s="94" t="s">
        <v>181</v>
      </c>
      <c r="C132" s="20" t="s">
        <v>182</v>
      </c>
      <c r="D132" s="20" t="s">
        <v>16</v>
      </c>
      <c r="E132" s="21">
        <v>1000.0</v>
      </c>
      <c r="F132" s="22">
        <v>5000.0</v>
      </c>
      <c r="G132" s="23">
        <f t="shared" si="1"/>
        <v>6250</v>
      </c>
      <c r="H132" s="23">
        <f t="shared" si="2"/>
        <v>8125</v>
      </c>
      <c r="I132" s="23">
        <f t="shared" si="3"/>
        <v>8531.25</v>
      </c>
      <c r="J132" s="23">
        <f t="shared" si="4"/>
        <v>9810.9375</v>
      </c>
      <c r="K132" s="24"/>
      <c r="L132" s="22">
        <v>10000.0</v>
      </c>
      <c r="O132" s="8"/>
      <c r="P132" s="8"/>
    </row>
    <row r="133">
      <c r="A133" s="25"/>
      <c r="B133" s="94" t="s">
        <v>183</v>
      </c>
      <c r="C133" s="20" t="s">
        <v>184</v>
      </c>
      <c r="D133" s="20" t="s">
        <v>16</v>
      </c>
      <c r="E133" s="21">
        <v>500.0</v>
      </c>
      <c r="F133" s="29">
        <f>F132/2</f>
        <v>2500</v>
      </c>
      <c r="G133" s="30">
        <f t="shared" si="1"/>
        <v>3125</v>
      </c>
      <c r="H133" s="30">
        <f t="shared" si="2"/>
        <v>4062.5</v>
      </c>
      <c r="I133" s="30">
        <f t="shared" si="3"/>
        <v>4265.625</v>
      </c>
      <c r="J133" s="30">
        <f t="shared" si="4"/>
        <v>4905.46875</v>
      </c>
      <c r="K133" s="31"/>
      <c r="L133" s="32">
        <v>5500.0</v>
      </c>
      <c r="O133" s="8"/>
      <c r="P133" s="8"/>
    </row>
    <row r="134">
      <c r="A134" s="33"/>
      <c r="B134" s="80" t="s">
        <v>185</v>
      </c>
      <c r="C134" s="11" t="s">
        <v>184</v>
      </c>
      <c r="D134" s="11" t="s">
        <v>16</v>
      </c>
      <c r="E134" s="12">
        <v>30.0</v>
      </c>
      <c r="F134" s="37">
        <f>F132/32</f>
        <v>156.25</v>
      </c>
      <c r="G134" s="14">
        <f t="shared" si="1"/>
        <v>195.3125</v>
      </c>
      <c r="H134" s="14">
        <f t="shared" si="2"/>
        <v>253.90625</v>
      </c>
      <c r="I134" s="14">
        <f t="shared" si="3"/>
        <v>266.6015625</v>
      </c>
      <c r="J134" s="14">
        <f t="shared" si="4"/>
        <v>306.5917969</v>
      </c>
      <c r="K134" s="38"/>
      <c r="L134" s="13">
        <v>350.0</v>
      </c>
      <c r="O134" s="8"/>
      <c r="P134" s="8"/>
    </row>
    <row r="135">
      <c r="A135" s="18">
        <v>54.0</v>
      </c>
      <c r="B135" s="19" t="s">
        <v>186</v>
      </c>
      <c r="C135" s="20" t="s">
        <v>187</v>
      </c>
      <c r="D135" s="20" t="s">
        <v>16</v>
      </c>
      <c r="E135" s="21">
        <v>750.0</v>
      </c>
      <c r="F135" s="58"/>
      <c r="G135" s="23">
        <f t="shared" si="1"/>
        <v>0</v>
      </c>
      <c r="H135" s="23">
        <f t="shared" si="2"/>
        <v>0</v>
      </c>
      <c r="I135" s="23">
        <f t="shared" si="3"/>
        <v>0</v>
      </c>
      <c r="J135" s="23">
        <f t="shared" si="4"/>
        <v>0</v>
      </c>
      <c r="K135" s="24"/>
      <c r="L135" s="22">
        <v>18000.0</v>
      </c>
      <c r="O135" s="8"/>
      <c r="P135" s="8"/>
    </row>
    <row r="136">
      <c r="A136" s="33"/>
      <c r="B136" s="10" t="s">
        <v>188</v>
      </c>
      <c r="C136" s="11" t="s">
        <v>189</v>
      </c>
      <c r="D136" s="11" t="s">
        <v>16</v>
      </c>
      <c r="E136" s="12">
        <v>30.0</v>
      </c>
      <c r="F136" s="37"/>
      <c r="G136" s="14">
        <f t="shared" si="1"/>
        <v>0</v>
      </c>
      <c r="H136" s="14">
        <f t="shared" si="2"/>
        <v>0</v>
      </c>
      <c r="I136" s="14">
        <f t="shared" si="3"/>
        <v>0</v>
      </c>
      <c r="J136" s="14">
        <f t="shared" si="4"/>
        <v>0</v>
      </c>
      <c r="K136" s="38"/>
      <c r="L136" s="13">
        <v>700.0</v>
      </c>
      <c r="O136" s="8"/>
      <c r="P136" s="8"/>
    </row>
    <row r="137">
      <c r="A137" s="18">
        <v>56.0</v>
      </c>
      <c r="B137" s="19" t="s">
        <v>190</v>
      </c>
      <c r="C137" s="20" t="s">
        <v>191</v>
      </c>
      <c r="D137" s="20" t="s">
        <v>16</v>
      </c>
      <c r="E137" s="21">
        <v>1000.0</v>
      </c>
      <c r="F137" s="58">
        <f>11721.74*1.15</f>
        <v>13480.001</v>
      </c>
      <c r="G137" s="23">
        <f t="shared" si="1"/>
        <v>16850.00125</v>
      </c>
      <c r="H137" s="23">
        <f t="shared" si="2"/>
        <v>21905.00163</v>
      </c>
      <c r="I137" s="23">
        <f t="shared" si="3"/>
        <v>23000.25171</v>
      </c>
      <c r="J137" s="23">
        <f t="shared" si="4"/>
        <v>26450.28946</v>
      </c>
      <c r="K137" s="24"/>
      <c r="L137" s="22">
        <v>27000.0</v>
      </c>
      <c r="O137" s="8"/>
      <c r="P137" s="8"/>
    </row>
    <row r="138">
      <c r="A138" s="25"/>
      <c r="B138" s="19" t="s">
        <v>192</v>
      </c>
      <c r="C138" s="20" t="s">
        <v>191</v>
      </c>
      <c r="D138" s="20" t="s">
        <v>16</v>
      </c>
      <c r="E138" s="21">
        <v>500.0</v>
      </c>
      <c r="F138" s="29">
        <f>F137/2</f>
        <v>6740.0005</v>
      </c>
      <c r="G138" s="30">
        <f t="shared" si="1"/>
        <v>8425.000625</v>
      </c>
      <c r="H138" s="30">
        <f t="shared" si="2"/>
        <v>10952.50081</v>
      </c>
      <c r="I138" s="30">
        <f t="shared" si="3"/>
        <v>11500.12585</v>
      </c>
      <c r="J138" s="30">
        <f t="shared" si="4"/>
        <v>13225.14473</v>
      </c>
      <c r="K138" s="31"/>
      <c r="L138" s="32">
        <v>14000.0</v>
      </c>
      <c r="O138" s="8"/>
      <c r="P138" s="8"/>
    </row>
    <row r="139">
      <c r="A139" s="33"/>
      <c r="B139" s="10" t="s">
        <v>193</v>
      </c>
      <c r="C139" s="11" t="s">
        <v>191</v>
      </c>
      <c r="D139" s="11" t="s">
        <v>16</v>
      </c>
      <c r="E139" s="12">
        <v>30.0</v>
      </c>
      <c r="F139" s="37">
        <f>F137/32</f>
        <v>421.2500313</v>
      </c>
      <c r="G139" s="14">
        <f t="shared" si="1"/>
        <v>526.5625391</v>
      </c>
      <c r="H139" s="14">
        <f t="shared" si="2"/>
        <v>684.5313008</v>
      </c>
      <c r="I139" s="14">
        <f t="shared" si="3"/>
        <v>718.7578658</v>
      </c>
      <c r="J139" s="14">
        <f t="shared" si="4"/>
        <v>826.5715457</v>
      </c>
      <c r="K139" s="38"/>
      <c r="L139" s="13">
        <v>950.0</v>
      </c>
      <c r="O139" s="8"/>
      <c r="P139" s="8"/>
    </row>
    <row r="140">
      <c r="A140" s="18">
        <v>57.0</v>
      </c>
      <c r="B140" s="19" t="s">
        <v>194</v>
      </c>
      <c r="C140" s="20" t="s">
        <v>195</v>
      </c>
      <c r="D140" s="20" t="s">
        <v>16</v>
      </c>
      <c r="E140" s="21">
        <v>1000.0</v>
      </c>
      <c r="F140" s="58"/>
      <c r="G140" s="23">
        <f t="shared" si="1"/>
        <v>0</v>
      </c>
      <c r="H140" s="23">
        <f t="shared" si="2"/>
        <v>0</v>
      </c>
      <c r="I140" s="23">
        <f t="shared" si="3"/>
        <v>0</v>
      </c>
      <c r="J140" s="23">
        <f t="shared" si="4"/>
        <v>0</v>
      </c>
      <c r="K140" s="24"/>
      <c r="L140" s="58"/>
      <c r="O140" s="8"/>
      <c r="P140" s="8"/>
    </row>
    <row r="141">
      <c r="A141" s="25"/>
      <c r="B141" s="19" t="s">
        <v>196</v>
      </c>
      <c r="C141" s="20" t="s">
        <v>195</v>
      </c>
      <c r="D141" s="20" t="s">
        <v>16</v>
      </c>
      <c r="E141" s="21">
        <v>500.0</v>
      </c>
      <c r="F141" s="29"/>
      <c r="G141" s="30">
        <f t="shared" si="1"/>
        <v>0</v>
      </c>
      <c r="H141" s="30">
        <f t="shared" si="2"/>
        <v>0</v>
      </c>
      <c r="I141" s="30">
        <f t="shared" si="3"/>
        <v>0</v>
      </c>
      <c r="J141" s="30">
        <f t="shared" si="4"/>
        <v>0</v>
      </c>
      <c r="K141" s="31"/>
      <c r="L141" s="29"/>
      <c r="O141" s="8"/>
      <c r="P141" s="8"/>
    </row>
    <row r="142">
      <c r="A142" s="33"/>
      <c r="B142" s="10" t="s">
        <v>197</v>
      </c>
      <c r="C142" s="11" t="s">
        <v>195</v>
      </c>
      <c r="D142" s="11" t="s">
        <v>16</v>
      </c>
      <c r="E142" s="12">
        <v>30.0</v>
      </c>
      <c r="F142" s="37"/>
      <c r="G142" s="14">
        <f t="shared" si="1"/>
        <v>0</v>
      </c>
      <c r="H142" s="14">
        <f t="shared" si="2"/>
        <v>0</v>
      </c>
      <c r="I142" s="14">
        <f t="shared" si="3"/>
        <v>0</v>
      </c>
      <c r="J142" s="14">
        <f t="shared" si="4"/>
        <v>0</v>
      </c>
      <c r="K142" s="38"/>
      <c r="L142" s="37"/>
      <c r="O142" s="8"/>
      <c r="P142" s="8"/>
    </row>
    <row r="143">
      <c r="A143" s="18">
        <v>58.0</v>
      </c>
      <c r="B143" s="39" t="s">
        <v>198</v>
      </c>
      <c r="C143" s="40" t="s">
        <v>199</v>
      </c>
      <c r="D143" s="40" t="s">
        <v>16</v>
      </c>
      <c r="E143" s="41">
        <v>750.0</v>
      </c>
      <c r="F143" s="22">
        <v>2000.0</v>
      </c>
      <c r="G143" s="23">
        <f t="shared" si="1"/>
        <v>2500</v>
      </c>
      <c r="H143" s="23">
        <f t="shared" si="2"/>
        <v>3250</v>
      </c>
      <c r="I143" s="23">
        <f t="shared" si="3"/>
        <v>3412.5</v>
      </c>
      <c r="J143" s="23">
        <f t="shared" si="4"/>
        <v>3924.375</v>
      </c>
      <c r="K143" s="24"/>
      <c r="L143" s="22">
        <v>4500.0</v>
      </c>
      <c r="O143" s="8"/>
      <c r="P143" s="8"/>
    </row>
    <row r="144">
      <c r="A144" s="25"/>
      <c r="B144" s="26" t="s">
        <v>200</v>
      </c>
      <c r="C144" s="27" t="s">
        <v>199</v>
      </c>
      <c r="D144" s="27" t="s">
        <v>16</v>
      </c>
      <c r="E144" s="28">
        <f>750/2</f>
        <v>375</v>
      </c>
      <c r="F144" s="29">
        <f>F143/2</f>
        <v>1000</v>
      </c>
      <c r="G144" s="30">
        <f t="shared" si="1"/>
        <v>1250</v>
      </c>
      <c r="H144" s="30">
        <f t="shared" si="2"/>
        <v>1625</v>
      </c>
      <c r="I144" s="30">
        <f t="shared" si="3"/>
        <v>1706.25</v>
      </c>
      <c r="J144" s="30">
        <f t="shared" si="4"/>
        <v>1962.1875</v>
      </c>
      <c r="K144" s="31"/>
      <c r="L144" s="32">
        <v>2500.0</v>
      </c>
      <c r="O144" s="8"/>
      <c r="P144" s="8"/>
    </row>
    <row r="145">
      <c r="A145" s="33"/>
      <c r="B145" s="10" t="s">
        <v>201</v>
      </c>
      <c r="C145" s="11" t="s">
        <v>199</v>
      </c>
      <c r="D145" s="11" t="s">
        <v>16</v>
      </c>
      <c r="E145" s="12">
        <v>30.0</v>
      </c>
      <c r="F145" s="37">
        <f>F143/23</f>
        <v>86.95652174</v>
      </c>
      <c r="G145" s="14">
        <f t="shared" si="1"/>
        <v>108.6956522</v>
      </c>
      <c r="H145" s="14">
        <f t="shared" si="2"/>
        <v>141.3043478</v>
      </c>
      <c r="I145" s="14">
        <f t="shared" si="3"/>
        <v>148.3695652</v>
      </c>
      <c r="J145" s="14">
        <f t="shared" si="4"/>
        <v>170.625</v>
      </c>
      <c r="K145" s="38"/>
      <c r="L145" s="13">
        <v>300.0</v>
      </c>
      <c r="O145" s="8"/>
      <c r="P145" s="8"/>
    </row>
    <row r="146">
      <c r="A146" s="18">
        <v>59.0</v>
      </c>
      <c r="B146" s="39" t="s">
        <v>202</v>
      </c>
      <c r="C146" s="40" t="s">
        <v>203</v>
      </c>
      <c r="D146" s="40" t="s">
        <v>16</v>
      </c>
      <c r="E146" s="41">
        <v>750.0</v>
      </c>
      <c r="F146" s="22">
        <v>2000.0</v>
      </c>
      <c r="G146" s="23">
        <f t="shared" si="1"/>
        <v>2500</v>
      </c>
      <c r="H146" s="23">
        <f t="shared" si="2"/>
        <v>3250</v>
      </c>
      <c r="I146" s="23">
        <f t="shared" si="3"/>
        <v>3412.5</v>
      </c>
      <c r="J146" s="23">
        <f t="shared" si="4"/>
        <v>3924.375</v>
      </c>
      <c r="K146" s="24"/>
      <c r="L146" s="22">
        <v>4500.0</v>
      </c>
      <c r="O146" s="8"/>
      <c r="P146" s="8"/>
    </row>
    <row r="147">
      <c r="A147" s="25"/>
      <c r="B147" s="26" t="s">
        <v>204</v>
      </c>
      <c r="C147" s="27" t="s">
        <v>203</v>
      </c>
      <c r="D147" s="27" t="s">
        <v>16</v>
      </c>
      <c r="E147" s="28">
        <f>750/2</f>
        <v>375</v>
      </c>
      <c r="F147" s="29">
        <f>F146/2</f>
        <v>1000</v>
      </c>
      <c r="G147" s="30">
        <f t="shared" si="1"/>
        <v>1250</v>
      </c>
      <c r="H147" s="30">
        <f t="shared" si="2"/>
        <v>1625</v>
      </c>
      <c r="I147" s="30">
        <f t="shared" si="3"/>
        <v>1706.25</v>
      </c>
      <c r="J147" s="30">
        <f t="shared" si="4"/>
        <v>1962.1875</v>
      </c>
      <c r="K147" s="31"/>
      <c r="L147" s="32">
        <v>2500.0</v>
      </c>
      <c r="O147" s="8"/>
      <c r="P147" s="8"/>
    </row>
    <row r="148">
      <c r="A148" s="33"/>
      <c r="B148" s="10" t="s">
        <v>205</v>
      </c>
      <c r="C148" s="11" t="s">
        <v>203</v>
      </c>
      <c r="D148" s="11" t="s">
        <v>16</v>
      </c>
      <c r="E148" s="12">
        <v>30.0</v>
      </c>
      <c r="F148" s="37">
        <f>F146/23</f>
        <v>86.95652174</v>
      </c>
      <c r="G148" s="14">
        <f t="shared" si="1"/>
        <v>108.6956522</v>
      </c>
      <c r="H148" s="14">
        <f t="shared" si="2"/>
        <v>141.3043478</v>
      </c>
      <c r="I148" s="14">
        <f t="shared" si="3"/>
        <v>148.3695652</v>
      </c>
      <c r="J148" s="14">
        <f t="shared" si="4"/>
        <v>170.625</v>
      </c>
      <c r="K148" s="38"/>
      <c r="L148" s="13">
        <v>300.0</v>
      </c>
      <c r="O148" s="8"/>
      <c r="P148" s="8"/>
    </row>
    <row r="149">
      <c r="A149" s="18">
        <v>60.0</v>
      </c>
      <c r="B149" s="39" t="s">
        <v>206</v>
      </c>
      <c r="C149" s="40" t="s">
        <v>207</v>
      </c>
      <c r="D149" s="40" t="s">
        <v>16</v>
      </c>
      <c r="E149" s="41">
        <v>1000.0</v>
      </c>
      <c r="F149" s="58">
        <f>5478.26*1.15</f>
        <v>6299.999</v>
      </c>
      <c r="G149" s="23">
        <f t="shared" si="1"/>
        <v>7874.99875</v>
      </c>
      <c r="H149" s="23">
        <f t="shared" si="2"/>
        <v>10237.49838</v>
      </c>
      <c r="I149" s="23">
        <f t="shared" si="3"/>
        <v>10749.37329</v>
      </c>
      <c r="J149" s="23">
        <f t="shared" si="4"/>
        <v>12361.77929</v>
      </c>
      <c r="K149" s="24"/>
      <c r="L149" s="22">
        <v>13500.0</v>
      </c>
      <c r="O149" s="8"/>
      <c r="P149" s="8"/>
    </row>
    <row r="150">
      <c r="A150" s="25"/>
      <c r="B150" s="26" t="s">
        <v>208</v>
      </c>
      <c r="C150" s="27" t="s">
        <v>207</v>
      </c>
      <c r="D150" s="27" t="s">
        <v>16</v>
      </c>
      <c r="E150" s="28">
        <v>500.0</v>
      </c>
      <c r="F150" s="29">
        <f>F149/2</f>
        <v>3149.9995</v>
      </c>
      <c r="G150" s="30">
        <f t="shared" si="1"/>
        <v>3937.499375</v>
      </c>
      <c r="H150" s="30">
        <f t="shared" si="2"/>
        <v>5118.749188</v>
      </c>
      <c r="I150" s="30">
        <f t="shared" si="3"/>
        <v>5374.686647</v>
      </c>
      <c r="J150" s="30">
        <f t="shared" si="4"/>
        <v>6180.889644</v>
      </c>
      <c r="K150" s="31"/>
      <c r="L150" s="32">
        <v>8000.0</v>
      </c>
      <c r="O150" s="8"/>
      <c r="P150" s="8"/>
    </row>
    <row r="151">
      <c r="A151" s="33"/>
      <c r="B151" s="10" t="s">
        <v>209</v>
      </c>
      <c r="C151" s="11" t="s">
        <v>207</v>
      </c>
      <c r="D151" s="11" t="s">
        <v>16</v>
      </c>
      <c r="E151" s="12">
        <v>30.0</v>
      </c>
      <c r="F151" s="37">
        <f>F149/32</f>
        <v>196.8749688</v>
      </c>
      <c r="G151" s="14">
        <f t="shared" si="1"/>
        <v>246.0937109</v>
      </c>
      <c r="H151" s="14">
        <f t="shared" si="2"/>
        <v>319.9218242</v>
      </c>
      <c r="I151" s="14">
        <f t="shared" si="3"/>
        <v>335.9179154</v>
      </c>
      <c r="J151" s="14">
        <f t="shared" si="4"/>
        <v>386.3056027</v>
      </c>
      <c r="K151" s="38"/>
      <c r="L151" s="13">
        <v>400.0</v>
      </c>
      <c r="O151" s="8"/>
      <c r="P151" s="8"/>
    </row>
    <row r="152">
      <c r="A152" s="18">
        <v>61.0</v>
      </c>
      <c r="B152" s="111" t="s">
        <v>210</v>
      </c>
      <c r="C152" s="40" t="s">
        <v>211</v>
      </c>
      <c r="D152" s="40" t="s">
        <v>16</v>
      </c>
      <c r="E152" s="41">
        <v>750.0</v>
      </c>
      <c r="F152" s="22">
        <v>7000.0</v>
      </c>
      <c r="G152" s="23">
        <f t="shared" si="1"/>
        <v>8750</v>
      </c>
      <c r="H152" s="23">
        <f t="shared" si="2"/>
        <v>11375</v>
      </c>
      <c r="I152" s="23">
        <f t="shared" si="3"/>
        <v>11943.75</v>
      </c>
      <c r="J152" s="23">
        <f t="shared" si="4"/>
        <v>13735.3125</v>
      </c>
      <c r="K152" s="24"/>
      <c r="L152" s="22">
        <v>14500.0</v>
      </c>
      <c r="O152" s="8"/>
      <c r="P152" s="8"/>
    </row>
    <row r="153">
      <c r="A153" s="25"/>
      <c r="B153" s="112" t="s">
        <v>212</v>
      </c>
      <c r="C153" s="27" t="s">
        <v>213</v>
      </c>
      <c r="D153" s="27" t="s">
        <v>16</v>
      </c>
      <c r="E153" s="28">
        <f>750/2</f>
        <v>375</v>
      </c>
      <c r="F153" s="29">
        <f>F152/2</f>
        <v>3500</v>
      </c>
      <c r="G153" s="30">
        <f t="shared" si="1"/>
        <v>4375</v>
      </c>
      <c r="H153" s="30">
        <f t="shared" si="2"/>
        <v>5687.5</v>
      </c>
      <c r="I153" s="30">
        <f t="shared" si="3"/>
        <v>5971.875</v>
      </c>
      <c r="J153" s="30">
        <f t="shared" si="4"/>
        <v>6867.65625</v>
      </c>
      <c r="K153" s="31"/>
      <c r="L153" s="32">
        <v>8000.0</v>
      </c>
      <c r="O153" s="8"/>
      <c r="P153" s="8"/>
    </row>
    <row r="154">
      <c r="A154" s="33"/>
      <c r="B154" s="80" t="s">
        <v>214</v>
      </c>
      <c r="C154" s="11" t="s">
        <v>213</v>
      </c>
      <c r="D154" s="11" t="s">
        <v>16</v>
      </c>
      <c r="E154" s="12">
        <v>30.0</v>
      </c>
      <c r="F154" s="37">
        <f>F152/32</f>
        <v>218.75</v>
      </c>
      <c r="G154" s="14">
        <f t="shared" si="1"/>
        <v>273.4375</v>
      </c>
      <c r="H154" s="14">
        <f t="shared" si="2"/>
        <v>355.46875</v>
      </c>
      <c r="I154" s="14">
        <f t="shared" si="3"/>
        <v>373.2421875</v>
      </c>
      <c r="J154" s="14">
        <f t="shared" si="4"/>
        <v>429.2285156</v>
      </c>
      <c r="K154" s="38"/>
      <c r="L154" s="13">
        <v>550.0</v>
      </c>
      <c r="O154" s="8"/>
      <c r="P154" s="8"/>
    </row>
    <row r="155">
      <c r="A155" s="103">
        <v>62.0</v>
      </c>
      <c r="B155" s="84" t="s">
        <v>215</v>
      </c>
      <c r="C155" s="90" t="s">
        <v>216</v>
      </c>
      <c r="D155" s="90" t="s">
        <v>16</v>
      </c>
      <c r="E155" s="85">
        <v>1000.0</v>
      </c>
      <c r="F155" s="81">
        <v>8321.0</v>
      </c>
      <c r="G155" s="23">
        <f t="shared" si="1"/>
        <v>10401.25</v>
      </c>
      <c r="H155" s="23">
        <f t="shared" si="2"/>
        <v>13521.625</v>
      </c>
      <c r="I155" s="23">
        <f t="shared" si="3"/>
        <v>14197.70625</v>
      </c>
      <c r="J155" s="23">
        <f t="shared" si="4"/>
        <v>16327.36219</v>
      </c>
      <c r="K155" s="83"/>
      <c r="L155" s="81">
        <v>17000.0</v>
      </c>
      <c r="O155" s="8"/>
      <c r="P155" s="8"/>
    </row>
    <row r="156">
      <c r="A156" s="25"/>
      <c r="B156" s="61" t="s">
        <v>217</v>
      </c>
      <c r="C156" s="62" t="s">
        <v>216</v>
      </c>
      <c r="D156" s="62" t="s">
        <v>16</v>
      </c>
      <c r="E156" s="63">
        <v>500.0</v>
      </c>
      <c r="F156" s="29">
        <f>F155/2</f>
        <v>4160.5</v>
      </c>
      <c r="G156" s="30">
        <f t="shared" si="1"/>
        <v>5200.625</v>
      </c>
      <c r="H156" s="30">
        <f t="shared" si="2"/>
        <v>6760.8125</v>
      </c>
      <c r="I156" s="30">
        <f t="shared" si="3"/>
        <v>7098.853125</v>
      </c>
      <c r="J156" s="30">
        <f t="shared" si="4"/>
        <v>8163.681094</v>
      </c>
      <c r="K156" s="31"/>
      <c r="L156" s="32">
        <v>9000.0</v>
      </c>
      <c r="O156" s="8"/>
      <c r="P156" s="8"/>
    </row>
    <row r="157">
      <c r="A157" s="33"/>
      <c r="B157" s="51" t="s">
        <v>218</v>
      </c>
      <c r="C157" s="64" t="s">
        <v>216</v>
      </c>
      <c r="D157" s="64" t="s">
        <v>16</v>
      </c>
      <c r="E157" s="65">
        <v>30.0</v>
      </c>
      <c r="F157" s="66">
        <f>F155/32</f>
        <v>260.03125</v>
      </c>
      <c r="G157" s="14">
        <f t="shared" si="1"/>
        <v>325.0390625</v>
      </c>
      <c r="H157" s="14">
        <f t="shared" si="2"/>
        <v>422.5507813</v>
      </c>
      <c r="I157" s="14">
        <f t="shared" si="3"/>
        <v>443.6783203</v>
      </c>
      <c r="J157" s="14">
        <f t="shared" si="4"/>
        <v>510.2300684</v>
      </c>
      <c r="K157" s="56"/>
      <c r="L157" s="54">
        <v>600.0</v>
      </c>
      <c r="O157" s="8"/>
      <c r="P157" s="8"/>
    </row>
    <row r="158">
      <c r="A158" s="103">
        <v>63.0</v>
      </c>
      <c r="B158" s="111" t="s">
        <v>219</v>
      </c>
      <c r="C158" s="40" t="s">
        <v>220</v>
      </c>
      <c r="D158" s="40" t="s">
        <v>16</v>
      </c>
      <c r="E158" s="41">
        <v>1000.0</v>
      </c>
      <c r="F158" s="58"/>
      <c r="G158" s="23">
        <f t="shared" si="1"/>
        <v>0</v>
      </c>
      <c r="H158" s="23">
        <f t="shared" si="2"/>
        <v>0</v>
      </c>
      <c r="I158" s="23">
        <f t="shared" si="3"/>
        <v>0</v>
      </c>
      <c r="J158" s="23">
        <f t="shared" si="4"/>
        <v>0</v>
      </c>
      <c r="K158" s="24"/>
      <c r="L158" s="58"/>
      <c r="O158" s="8"/>
      <c r="P158" s="8"/>
    </row>
    <row r="159">
      <c r="A159" s="25"/>
      <c r="B159" s="112" t="s">
        <v>221</v>
      </c>
      <c r="C159" s="27" t="s">
        <v>222</v>
      </c>
      <c r="D159" s="27" t="s">
        <v>16</v>
      </c>
      <c r="E159" s="28">
        <v>500.0</v>
      </c>
      <c r="F159" s="29"/>
      <c r="G159" s="30">
        <f t="shared" si="1"/>
        <v>0</v>
      </c>
      <c r="H159" s="30">
        <f t="shared" si="2"/>
        <v>0</v>
      </c>
      <c r="I159" s="30">
        <f t="shared" si="3"/>
        <v>0</v>
      </c>
      <c r="J159" s="30">
        <f t="shared" si="4"/>
        <v>0</v>
      </c>
      <c r="K159" s="31"/>
      <c r="L159" s="29"/>
      <c r="O159" s="8"/>
      <c r="P159" s="8"/>
    </row>
    <row r="160">
      <c r="A160" s="33"/>
      <c r="B160" s="80" t="s">
        <v>223</v>
      </c>
      <c r="C160" s="11" t="s">
        <v>222</v>
      </c>
      <c r="D160" s="11" t="s">
        <v>16</v>
      </c>
      <c r="E160" s="12">
        <v>30.0</v>
      </c>
      <c r="F160" s="37"/>
      <c r="G160" s="14">
        <f t="shared" si="1"/>
        <v>0</v>
      </c>
      <c r="H160" s="14">
        <f t="shared" si="2"/>
        <v>0</v>
      </c>
      <c r="I160" s="14">
        <f t="shared" si="3"/>
        <v>0</v>
      </c>
      <c r="J160" s="14">
        <f t="shared" si="4"/>
        <v>0</v>
      </c>
      <c r="K160" s="38"/>
      <c r="L160" s="13">
        <v>500.0</v>
      </c>
      <c r="O160" s="8"/>
      <c r="P160" s="8"/>
    </row>
    <row r="161">
      <c r="A161" s="103">
        <v>64.0</v>
      </c>
      <c r="B161" s="113" t="s">
        <v>224</v>
      </c>
      <c r="C161" s="40"/>
      <c r="D161" s="40"/>
      <c r="E161" s="40"/>
      <c r="F161" s="89"/>
      <c r="G161" s="82">
        <f t="shared" si="1"/>
        <v>0</v>
      </c>
      <c r="H161" s="82">
        <f t="shared" si="2"/>
        <v>0</v>
      </c>
      <c r="I161" s="82">
        <f t="shared" si="3"/>
        <v>0</v>
      </c>
      <c r="J161" s="82">
        <f t="shared" si="4"/>
        <v>0</v>
      </c>
      <c r="K161" s="83"/>
      <c r="L161" s="89"/>
      <c r="O161" s="8"/>
      <c r="P161" s="8"/>
    </row>
    <row r="162">
      <c r="A162" s="25"/>
      <c r="B162" s="114"/>
      <c r="C162" s="27"/>
      <c r="D162" s="27"/>
      <c r="E162" s="27"/>
      <c r="F162" s="29"/>
      <c r="G162" s="30">
        <f t="shared" si="1"/>
        <v>0</v>
      </c>
      <c r="H162" s="30">
        <f t="shared" si="2"/>
        <v>0</v>
      </c>
      <c r="I162" s="30">
        <f t="shared" si="3"/>
        <v>0</v>
      </c>
      <c r="J162" s="30">
        <f t="shared" si="4"/>
        <v>0</v>
      </c>
      <c r="K162" s="31"/>
      <c r="L162" s="29"/>
      <c r="O162" s="8"/>
      <c r="P162" s="8"/>
    </row>
    <row r="163">
      <c r="A163" s="33"/>
      <c r="B163" s="115"/>
      <c r="C163" s="11"/>
      <c r="D163" s="11"/>
      <c r="E163" s="11"/>
      <c r="F163" s="66"/>
      <c r="G163" s="14">
        <f t="shared" si="1"/>
        <v>0</v>
      </c>
      <c r="H163" s="14">
        <f t="shared" si="2"/>
        <v>0</v>
      </c>
      <c r="I163" s="14">
        <f t="shared" si="3"/>
        <v>0</v>
      </c>
      <c r="J163" s="14">
        <f t="shared" si="4"/>
        <v>0</v>
      </c>
      <c r="K163" s="56"/>
      <c r="L163" s="66"/>
      <c r="O163" s="8"/>
      <c r="P163" s="8"/>
    </row>
    <row r="164">
      <c r="A164" s="103">
        <v>65.0</v>
      </c>
      <c r="B164" s="113" t="s">
        <v>225</v>
      </c>
      <c r="C164" s="40"/>
      <c r="D164" s="40"/>
      <c r="E164" s="40"/>
      <c r="F164" s="89"/>
      <c r="G164" s="82">
        <f t="shared" si="1"/>
        <v>0</v>
      </c>
      <c r="H164" s="82">
        <f t="shared" si="2"/>
        <v>0</v>
      </c>
      <c r="I164" s="82">
        <f t="shared" si="3"/>
        <v>0</v>
      </c>
      <c r="J164" s="82">
        <f t="shared" si="4"/>
        <v>0</v>
      </c>
      <c r="K164" s="83"/>
      <c r="L164" s="89"/>
      <c r="O164" s="8"/>
      <c r="P164" s="8"/>
    </row>
    <row r="165">
      <c r="A165" s="25"/>
      <c r="B165" s="114"/>
      <c r="C165" s="27"/>
      <c r="D165" s="27"/>
      <c r="E165" s="27"/>
      <c r="F165" s="29"/>
      <c r="G165" s="30">
        <f t="shared" si="1"/>
        <v>0</v>
      </c>
      <c r="H165" s="30">
        <f t="shared" si="2"/>
        <v>0</v>
      </c>
      <c r="I165" s="30">
        <f t="shared" si="3"/>
        <v>0</v>
      </c>
      <c r="J165" s="30">
        <f t="shared" si="4"/>
        <v>0</v>
      </c>
      <c r="K165" s="31"/>
      <c r="L165" s="29"/>
      <c r="O165" s="8"/>
      <c r="P165" s="8"/>
    </row>
    <row r="166">
      <c r="A166" s="33"/>
      <c r="B166" s="115"/>
      <c r="C166" s="11"/>
      <c r="D166" s="116"/>
      <c r="E166" s="11"/>
      <c r="F166" s="66"/>
      <c r="G166" s="14">
        <f t="shared" si="1"/>
        <v>0</v>
      </c>
      <c r="H166" s="14">
        <f t="shared" si="2"/>
        <v>0</v>
      </c>
      <c r="I166" s="14">
        <f t="shared" si="3"/>
        <v>0</v>
      </c>
      <c r="J166" s="14">
        <f t="shared" si="4"/>
        <v>0</v>
      </c>
      <c r="K166" s="56"/>
      <c r="L166" s="66"/>
      <c r="O166" s="8"/>
      <c r="P166" s="8"/>
    </row>
    <row r="167">
      <c r="A167" s="117">
        <v>66.0</v>
      </c>
      <c r="B167" s="10" t="s">
        <v>226</v>
      </c>
      <c r="C167" s="11" t="s">
        <v>227</v>
      </c>
      <c r="D167" s="116" t="s">
        <v>16</v>
      </c>
      <c r="E167" s="12">
        <v>30.0</v>
      </c>
      <c r="F167" s="66"/>
      <c r="G167" s="55">
        <f t="shared" si="1"/>
        <v>0</v>
      </c>
      <c r="H167" s="55">
        <f t="shared" si="2"/>
        <v>0</v>
      </c>
      <c r="I167" s="55">
        <f t="shared" si="3"/>
        <v>0</v>
      </c>
      <c r="J167" s="55">
        <f t="shared" si="4"/>
        <v>0</v>
      </c>
      <c r="K167" s="56"/>
      <c r="L167" s="66"/>
      <c r="O167" s="8"/>
      <c r="P167" s="8"/>
    </row>
    <row r="168">
      <c r="A168" s="103">
        <v>67.0</v>
      </c>
      <c r="B168" s="111" t="s">
        <v>228</v>
      </c>
      <c r="C168" s="40" t="s">
        <v>229</v>
      </c>
      <c r="D168" s="40" t="s">
        <v>16</v>
      </c>
      <c r="E168" s="21">
        <v>1000.0</v>
      </c>
      <c r="F168" s="22">
        <v>4625.0</v>
      </c>
      <c r="G168" s="23">
        <f t="shared" si="1"/>
        <v>5781.25</v>
      </c>
      <c r="H168" s="23">
        <f t="shared" si="2"/>
        <v>7515.625</v>
      </c>
      <c r="I168" s="23">
        <f t="shared" si="3"/>
        <v>7891.40625</v>
      </c>
      <c r="J168" s="23">
        <f t="shared" si="4"/>
        <v>9075.117188</v>
      </c>
      <c r="K168" s="24"/>
      <c r="L168" s="22">
        <v>10000.0</v>
      </c>
      <c r="O168" s="8"/>
      <c r="P168" s="8"/>
    </row>
    <row r="169">
      <c r="A169" s="25"/>
      <c r="B169" s="112" t="s">
        <v>230</v>
      </c>
      <c r="C169" s="49" t="s">
        <v>231</v>
      </c>
      <c r="D169" s="49" t="s">
        <v>16</v>
      </c>
      <c r="E169" s="28">
        <v>500.0</v>
      </c>
      <c r="F169" s="29">
        <f>F168/2</f>
        <v>2312.5</v>
      </c>
      <c r="G169" s="30">
        <f t="shared" si="1"/>
        <v>2890.625</v>
      </c>
      <c r="H169" s="30">
        <f t="shared" si="2"/>
        <v>3757.8125</v>
      </c>
      <c r="I169" s="30">
        <f t="shared" si="3"/>
        <v>3945.703125</v>
      </c>
      <c r="J169" s="30">
        <f t="shared" si="4"/>
        <v>4537.558594</v>
      </c>
      <c r="K169" s="31"/>
      <c r="L169" s="32">
        <v>5500.0</v>
      </c>
      <c r="O169" s="8"/>
      <c r="P169" s="8"/>
    </row>
    <row r="170">
      <c r="A170" s="33"/>
      <c r="B170" s="11" t="s">
        <v>232</v>
      </c>
      <c r="C170" s="35" t="s">
        <v>231</v>
      </c>
      <c r="D170" s="35" t="s">
        <v>16</v>
      </c>
      <c r="E170" s="36">
        <v>30.0</v>
      </c>
      <c r="F170" s="37">
        <f>F168/32</f>
        <v>144.53125</v>
      </c>
      <c r="G170" s="14">
        <f t="shared" si="1"/>
        <v>180.6640625</v>
      </c>
      <c r="H170" s="14">
        <f t="shared" si="2"/>
        <v>234.8632813</v>
      </c>
      <c r="I170" s="14">
        <f t="shared" si="3"/>
        <v>246.6064453</v>
      </c>
      <c r="J170" s="14">
        <f t="shared" si="4"/>
        <v>283.5974121</v>
      </c>
      <c r="K170" s="38"/>
      <c r="L170" s="13">
        <v>300.0</v>
      </c>
      <c r="O170" s="8"/>
      <c r="P170" s="8"/>
    </row>
    <row r="171">
      <c r="A171" s="103">
        <v>68.0</v>
      </c>
      <c r="B171" s="19" t="s">
        <v>233</v>
      </c>
      <c r="C171" s="20" t="s">
        <v>234</v>
      </c>
      <c r="D171" s="20" t="s">
        <v>16</v>
      </c>
      <c r="E171" s="21">
        <v>1000.0</v>
      </c>
      <c r="F171" s="58">
        <f>5391.3*1.15</f>
        <v>6199.995</v>
      </c>
      <c r="G171" s="23">
        <f t="shared" si="1"/>
        <v>7749.99375</v>
      </c>
      <c r="H171" s="23">
        <f t="shared" si="2"/>
        <v>10074.99188</v>
      </c>
      <c r="I171" s="23">
        <f t="shared" si="3"/>
        <v>10578.74147</v>
      </c>
      <c r="J171" s="23">
        <f t="shared" si="4"/>
        <v>12165.55269</v>
      </c>
      <c r="K171" s="24"/>
      <c r="L171" s="22">
        <v>13000.0</v>
      </c>
      <c r="O171" s="8"/>
      <c r="P171" s="8"/>
    </row>
    <row r="172">
      <c r="A172" s="25"/>
      <c r="B172" s="26" t="s">
        <v>235</v>
      </c>
      <c r="C172" s="27" t="s">
        <v>234</v>
      </c>
      <c r="D172" s="27" t="s">
        <v>16</v>
      </c>
      <c r="E172" s="28">
        <v>500.0</v>
      </c>
      <c r="F172" s="29">
        <f>F171/2</f>
        <v>3099.9975</v>
      </c>
      <c r="G172" s="30">
        <f t="shared" si="1"/>
        <v>3874.996875</v>
      </c>
      <c r="H172" s="30">
        <f t="shared" si="2"/>
        <v>5037.495938</v>
      </c>
      <c r="I172" s="30">
        <f t="shared" si="3"/>
        <v>5289.370734</v>
      </c>
      <c r="J172" s="30">
        <f t="shared" si="4"/>
        <v>6082.776345</v>
      </c>
      <c r="K172" s="31"/>
      <c r="L172" s="32">
        <v>8000.0</v>
      </c>
      <c r="O172" s="8"/>
      <c r="P172" s="8"/>
    </row>
    <row r="173">
      <c r="A173" s="33"/>
      <c r="B173" s="34" t="s">
        <v>236</v>
      </c>
      <c r="C173" s="35" t="s">
        <v>237</v>
      </c>
      <c r="D173" s="35" t="s">
        <v>16</v>
      </c>
      <c r="E173" s="36">
        <v>30.0</v>
      </c>
      <c r="F173" s="37">
        <f>F171/32</f>
        <v>193.7498438</v>
      </c>
      <c r="G173" s="14">
        <f t="shared" si="1"/>
        <v>242.1873047</v>
      </c>
      <c r="H173" s="14">
        <f t="shared" si="2"/>
        <v>314.8434961</v>
      </c>
      <c r="I173" s="14">
        <f t="shared" si="3"/>
        <v>330.5856709</v>
      </c>
      <c r="J173" s="14">
        <f t="shared" si="4"/>
        <v>380.1735215</v>
      </c>
      <c r="K173" s="38"/>
      <c r="L173" s="93">
        <v>500.0</v>
      </c>
      <c r="M173" s="53">
        <v>400.0</v>
      </c>
      <c r="O173" s="8"/>
      <c r="P173" s="8"/>
    </row>
    <row r="174">
      <c r="A174" s="117">
        <v>69.0</v>
      </c>
      <c r="B174" s="10" t="s">
        <v>238</v>
      </c>
      <c r="C174" s="11" t="s">
        <v>238</v>
      </c>
      <c r="D174" s="11" t="s">
        <v>16</v>
      </c>
      <c r="E174" s="11"/>
      <c r="F174" s="54">
        <v>600.0</v>
      </c>
      <c r="G174" s="55">
        <f t="shared" si="1"/>
        <v>750</v>
      </c>
      <c r="H174" s="55">
        <f t="shared" si="2"/>
        <v>975</v>
      </c>
      <c r="I174" s="55">
        <f t="shared" si="3"/>
        <v>1023.75</v>
      </c>
      <c r="J174" s="55">
        <f t="shared" si="4"/>
        <v>1177.3125</v>
      </c>
      <c r="K174" s="56"/>
      <c r="L174" s="118">
        <v>1500.0</v>
      </c>
      <c r="M174" s="53">
        <v>1200.0</v>
      </c>
      <c r="O174" s="8"/>
      <c r="P174" s="8"/>
    </row>
    <row r="175">
      <c r="A175" s="103">
        <v>70.0</v>
      </c>
      <c r="B175" s="19" t="s">
        <v>239</v>
      </c>
      <c r="C175" s="20" t="s">
        <v>240</v>
      </c>
      <c r="D175" s="20" t="s">
        <v>16</v>
      </c>
      <c r="E175" s="21">
        <v>750.0</v>
      </c>
      <c r="F175" s="22">
        <f>1173.91*1.15</f>
        <v>1349.9965</v>
      </c>
      <c r="G175" s="23">
        <f t="shared" si="1"/>
        <v>1687.495625</v>
      </c>
      <c r="H175" s="23">
        <f t="shared" si="2"/>
        <v>2193.744313</v>
      </c>
      <c r="I175" s="23">
        <f t="shared" si="3"/>
        <v>2303.431528</v>
      </c>
      <c r="J175" s="23">
        <f t="shared" si="4"/>
        <v>2648.946257</v>
      </c>
      <c r="K175" s="24"/>
      <c r="L175" s="87">
        <v>3000.0</v>
      </c>
      <c r="M175" s="53">
        <v>2700.0</v>
      </c>
      <c r="O175" s="8"/>
      <c r="P175" s="8"/>
    </row>
    <row r="176">
      <c r="A176" s="33"/>
      <c r="B176" s="34" t="s">
        <v>241</v>
      </c>
      <c r="C176" s="35" t="s">
        <v>240</v>
      </c>
      <c r="D176" s="35" t="s">
        <v>16</v>
      </c>
      <c r="E176" s="36">
        <v>187.5</v>
      </c>
      <c r="F176" s="37">
        <f>F175/4</f>
        <v>337.499125</v>
      </c>
      <c r="G176" s="14">
        <f t="shared" si="1"/>
        <v>421.8739063</v>
      </c>
      <c r="H176" s="14">
        <f t="shared" si="2"/>
        <v>548.4360781</v>
      </c>
      <c r="I176" s="14">
        <f t="shared" si="3"/>
        <v>575.857882</v>
      </c>
      <c r="J176" s="14">
        <f t="shared" si="4"/>
        <v>662.2365643</v>
      </c>
      <c r="K176" s="38"/>
      <c r="L176" s="13">
        <v>700.0</v>
      </c>
      <c r="O176" s="8"/>
      <c r="P176" s="8"/>
    </row>
    <row r="177">
      <c r="A177" s="103">
        <v>71.0</v>
      </c>
      <c r="B177" s="19" t="s">
        <v>242</v>
      </c>
      <c r="C177" s="20" t="s">
        <v>243</v>
      </c>
      <c r="D177" s="20" t="s">
        <v>16</v>
      </c>
      <c r="E177" s="21">
        <v>750.0</v>
      </c>
      <c r="F177" s="58">
        <f>1347.83*1.15</f>
        <v>1550.0045</v>
      </c>
      <c r="G177" s="23">
        <f t="shared" si="1"/>
        <v>1937.505625</v>
      </c>
      <c r="H177" s="23">
        <f t="shared" si="2"/>
        <v>2518.757313</v>
      </c>
      <c r="I177" s="23">
        <f t="shared" si="3"/>
        <v>2644.695178</v>
      </c>
      <c r="J177" s="23">
        <f t="shared" si="4"/>
        <v>3041.399455</v>
      </c>
      <c r="K177" s="24"/>
      <c r="L177" s="87">
        <v>4000.0</v>
      </c>
      <c r="M177" s="53">
        <v>3000.0</v>
      </c>
      <c r="O177" s="8"/>
      <c r="P177" s="8"/>
    </row>
    <row r="178">
      <c r="A178" s="33"/>
      <c r="B178" s="34" t="s">
        <v>244</v>
      </c>
      <c r="C178" s="35" t="s">
        <v>243</v>
      </c>
      <c r="D178" s="35" t="s">
        <v>16</v>
      </c>
      <c r="E178" s="36">
        <v>187.5</v>
      </c>
      <c r="F178" s="37">
        <f>F177/4</f>
        <v>387.501125</v>
      </c>
      <c r="G178" s="14">
        <f t="shared" si="1"/>
        <v>484.3764063</v>
      </c>
      <c r="H178" s="14">
        <f t="shared" si="2"/>
        <v>629.6893281</v>
      </c>
      <c r="I178" s="14">
        <f t="shared" si="3"/>
        <v>661.1737945</v>
      </c>
      <c r="J178" s="14">
        <f t="shared" si="4"/>
        <v>760.3498637</v>
      </c>
      <c r="K178" s="38"/>
      <c r="L178" s="13">
        <v>900.0</v>
      </c>
      <c r="O178" s="8"/>
      <c r="P178" s="8"/>
    </row>
    <row r="179">
      <c r="A179" s="103">
        <v>72.0</v>
      </c>
      <c r="B179" s="119" t="s">
        <v>245</v>
      </c>
      <c r="C179" s="20"/>
      <c r="D179" s="95" t="s">
        <v>16</v>
      </c>
      <c r="E179" s="21">
        <v>1.0</v>
      </c>
      <c r="F179" s="58"/>
      <c r="G179" s="23">
        <f t="shared" si="1"/>
        <v>0</v>
      </c>
      <c r="H179" s="23">
        <f t="shared" si="2"/>
        <v>0</v>
      </c>
      <c r="I179" s="23">
        <f t="shared" si="3"/>
        <v>0</v>
      </c>
      <c r="J179" s="23">
        <f t="shared" si="4"/>
        <v>0</v>
      </c>
      <c r="K179" s="24"/>
      <c r="L179" s="58"/>
      <c r="O179" s="8"/>
      <c r="P179" s="8"/>
    </row>
    <row r="180">
      <c r="A180" s="25"/>
      <c r="B180" s="119"/>
      <c r="C180" s="20"/>
      <c r="D180" s="95" t="s">
        <v>16</v>
      </c>
      <c r="E180" s="21"/>
      <c r="F180" s="58"/>
      <c r="G180" s="30">
        <f t="shared" si="1"/>
        <v>0</v>
      </c>
      <c r="H180" s="30">
        <f t="shared" si="2"/>
        <v>0</v>
      </c>
      <c r="I180" s="30">
        <f t="shared" si="3"/>
        <v>0</v>
      </c>
      <c r="J180" s="30">
        <f t="shared" si="4"/>
        <v>0</v>
      </c>
      <c r="K180" s="24"/>
      <c r="L180" s="58"/>
      <c r="O180" s="8"/>
      <c r="P180" s="8"/>
    </row>
    <row r="181">
      <c r="A181" s="33"/>
      <c r="B181" s="115"/>
      <c r="C181" s="11"/>
      <c r="D181" s="64" t="s">
        <v>16</v>
      </c>
      <c r="E181" s="12"/>
      <c r="F181" s="66"/>
      <c r="G181" s="14">
        <f t="shared" si="1"/>
        <v>0</v>
      </c>
      <c r="H181" s="14">
        <f t="shared" si="2"/>
        <v>0</v>
      </c>
      <c r="I181" s="14">
        <f t="shared" si="3"/>
        <v>0</v>
      </c>
      <c r="J181" s="14">
        <f t="shared" si="4"/>
        <v>0</v>
      </c>
      <c r="K181" s="56"/>
      <c r="L181" s="66"/>
      <c r="O181" s="8"/>
      <c r="P181" s="8"/>
    </row>
    <row r="182">
      <c r="A182" s="103">
        <v>73.0</v>
      </c>
      <c r="B182" s="120" t="s">
        <v>246</v>
      </c>
      <c r="C182" s="95" t="s">
        <v>247</v>
      </c>
      <c r="D182" s="95" t="s">
        <v>16</v>
      </c>
      <c r="E182" s="60">
        <v>1000.0</v>
      </c>
      <c r="F182" s="58">
        <f>4224.17*1.15</f>
        <v>4857.7955</v>
      </c>
      <c r="G182" s="23">
        <f t="shared" si="1"/>
        <v>6072.244375</v>
      </c>
      <c r="H182" s="23">
        <f t="shared" si="2"/>
        <v>7893.917688</v>
      </c>
      <c r="I182" s="23">
        <f t="shared" si="3"/>
        <v>8288.613572</v>
      </c>
      <c r="J182" s="23">
        <f t="shared" si="4"/>
        <v>9531.905608</v>
      </c>
      <c r="K182" s="24"/>
      <c r="L182" s="22">
        <v>10000.0</v>
      </c>
      <c r="O182" s="8"/>
      <c r="P182" s="8"/>
    </row>
    <row r="183">
      <c r="A183" s="25"/>
      <c r="B183" s="121" t="s">
        <v>248</v>
      </c>
      <c r="C183" s="62" t="s">
        <v>247</v>
      </c>
      <c r="D183" s="62" t="s">
        <v>16</v>
      </c>
      <c r="E183" s="63">
        <v>500.0</v>
      </c>
      <c r="F183" s="29">
        <f>F182/2</f>
        <v>2428.89775</v>
      </c>
      <c r="G183" s="30">
        <f t="shared" si="1"/>
        <v>3036.122188</v>
      </c>
      <c r="H183" s="30">
        <f t="shared" si="2"/>
        <v>3946.958844</v>
      </c>
      <c r="I183" s="30">
        <f t="shared" si="3"/>
        <v>4144.306786</v>
      </c>
      <c r="J183" s="30">
        <f t="shared" si="4"/>
        <v>4765.952804</v>
      </c>
      <c r="K183" s="31"/>
      <c r="L183" s="32">
        <v>5500.0</v>
      </c>
      <c r="O183" s="8"/>
      <c r="P183" s="8"/>
    </row>
    <row r="184">
      <c r="A184" s="33"/>
      <c r="B184" s="122" t="s">
        <v>249</v>
      </c>
      <c r="C184" s="47" t="s">
        <v>247</v>
      </c>
      <c r="D184" s="47" t="s">
        <v>16</v>
      </c>
      <c r="E184" s="48">
        <v>30.0</v>
      </c>
      <c r="F184" s="37">
        <f>F182/31</f>
        <v>156.7030806</v>
      </c>
      <c r="G184" s="14">
        <f t="shared" si="1"/>
        <v>195.8788508</v>
      </c>
      <c r="H184" s="14">
        <f t="shared" si="2"/>
        <v>254.642506</v>
      </c>
      <c r="I184" s="14">
        <f t="shared" si="3"/>
        <v>267.3746314</v>
      </c>
      <c r="J184" s="14">
        <f t="shared" si="4"/>
        <v>307.4808261</v>
      </c>
      <c r="K184" s="38"/>
      <c r="L184" s="13">
        <v>400.0</v>
      </c>
      <c r="O184" s="8"/>
      <c r="P184" s="8"/>
    </row>
    <row r="185">
      <c r="A185" s="103">
        <v>74.0</v>
      </c>
      <c r="B185" s="123" t="s">
        <v>250</v>
      </c>
      <c r="C185" s="20"/>
      <c r="D185" s="95" t="s">
        <v>16</v>
      </c>
      <c r="E185" s="20"/>
      <c r="F185" s="58"/>
      <c r="G185" s="23">
        <f t="shared" si="1"/>
        <v>0</v>
      </c>
      <c r="H185" s="23">
        <f t="shared" si="2"/>
        <v>0</v>
      </c>
      <c r="I185" s="23">
        <f t="shared" si="3"/>
        <v>0</v>
      </c>
      <c r="J185" s="23">
        <f t="shared" si="4"/>
        <v>0</v>
      </c>
      <c r="K185" s="24"/>
      <c r="L185" s="58"/>
      <c r="O185" s="8"/>
      <c r="P185" s="8"/>
    </row>
    <row r="186">
      <c r="A186" s="25"/>
      <c r="B186" s="123"/>
      <c r="C186" s="20"/>
      <c r="D186" s="95" t="s">
        <v>16</v>
      </c>
      <c r="E186" s="20"/>
      <c r="F186" s="58"/>
      <c r="G186" s="30">
        <f t="shared" si="1"/>
        <v>0</v>
      </c>
      <c r="H186" s="30">
        <f t="shared" si="2"/>
        <v>0</v>
      </c>
      <c r="I186" s="30">
        <f t="shared" si="3"/>
        <v>0</v>
      </c>
      <c r="J186" s="30">
        <f t="shared" si="4"/>
        <v>0</v>
      </c>
      <c r="K186" s="24"/>
      <c r="L186" s="58"/>
      <c r="O186" s="8"/>
      <c r="P186" s="8"/>
    </row>
    <row r="187">
      <c r="A187" s="33"/>
      <c r="B187" s="124"/>
      <c r="C187" s="11"/>
      <c r="D187" s="64" t="s">
        <v>16</v>
      </c>
      <c r="E187" s="11"/>
      <c r="F187" s="66"/>
      <c r="G187" s="14">
        <f t="shared" si="1"/>
        <v>0</v>
      </c>
      <c r="H187" s="14">
        <f t="shared" si="2"/>
        <v>0</v>
      </c>
      <c r="I187" s="14">
        <f t="shared" si="3"/>
        <v>0</v>
      </c>
      <c r="J187" s="14">
        <f t="shared" si="4"/>
        <v>0</v>
      </c>
      <c r="K187" s="56"/>
      <c r="L187" s="66"/>
      <c r="O187" s="8"/>
      <c r="P187" s="8"/>
    </row>
    <row r="188">
      <c r="A188" s="103">
        <v>75.0</v>
      </c>
      <c r="B188" s="123" t="s">
        <v>250</v>
      </c>
      <c r="C188" s="20"/>
      <c r="D188" s="95" t="s">
        <v>16</v>
      </c>
      <c r="E188" s="20"/>
      <c r="F188" s="58"/>
      <c r="G188" s="23">
        <f t="shared" si="1"/>
        <v>0</v>
      </c>
      <c r="H188" s="23">
        <f t="shared" si="2"/>
        <v>0</v>
      </c>
      <c r="I188" s="23">
        <f t="shared" si="3"/>
        <v>0</v>
      </c>
      <c r="J188" s="23">
        <f t="shared" si="4"/>
        <v>0</v>
      </c>
      <c r="K188" s="24"/>
      <c r="L188" s="58"/>
      <c r="O188" s="8"/>
      <c r="P188" s="8"/>
    </row>
    <row r="189">
      <c r="A189" s="25"/>
      <c r="B189" s="125"/>
      <c r="C189" s="49"/>
      <c r="D189" s="126" t="s">
        <v>16</v>
      </c>
      <c r="E189" s="49"/>
      <c r="F189" s="42"/>
      <c r="G189" s="30">
        <f t="shared" si="1"/>
        <v>0</v>
      </c>
      <c r="H189" s="30">
        <f t="shared" si="2"/>
        <v>0</v>
      </c>
      <c r="I189" s="30">
        <f t="shared" si="3"/>
        <v>0</v>
      </c>
      <c r="J189" s="30">
        <f t="shared" si="4"/>
        <v>0</v>
      </c>
      <c r="K189" s="44"/>
      <c r="L189" s="42"/>
      <c r="O189" s="8"/>
      <c r="P189" s="8"/>
    </row>
    <row r="190">
      <c r="A190" s="33"/>
      <c r="B190" s="127"/>
      <c r="C190" s="35"/>
      <c r="D190" s="47" t="s">
        <v>16</v>
      </c>
      <c r="E190" s="35"/>
      <c r="F190" s="37"/>
      <c r="G190" s="14">
        <f t="shared" si="1"/>
        <v>0</v>
      </c>
      <c r="H190" s="14">
        <f t="shared" si="2"/>
        <v>0</v>
      </c>
      <c r="I190" s="14">
        <f t="shared" si="3"/>
        <v>0</v>
      </c>
      <c r="J190" s="14">
        <f t="shared" si="4"/>
        <v>0</v>
      </c>
      <c r="K190" s="38"/>
      <c r="L190" s="37"/>
      <c r="O190" s="8"/>
      <c r="P190" s="8"/>
    </row>
    <row r="191">
      <c r="A191" s="128">
        <v>76.0</v>
      </c>
      <c r="B191" s="129" t="s">
        <v>251</v>
      </c>
      <c r="C191" s="40"/>
      <c r="D191" s="90" t="s">
        <v>16</v>
      </c>
      <c r="E191" s="41"/>
      <c r="F191" s="89"/>
      <c r="G191" s="23">
        <f t="shared" si="1"/>
        <v>0</v>
      </c>
      <c r="H191" s="23">
        <f t="shared" si="2"/>
        <v>0</v>
      </c>
      <c r="I191" s="23">
        <f t="shared" si="3"/>
        <v>0</v>
      </c>
      <c r="J191" s="23">
        <f t="shared" si="4"/>
        <v>0</v>
      </c>
      <c r="K191" s="83"/>
      <c r="L191" s="89"/>
      <c r="O191" s="8"/>
      <c r="P191" s="8"/>
    </row>
    <row r="192">
      <c r="A192" s="25"/>
      <c r="B192" s="130" t="s">
        <v>252</v>
      </c>
      <c r="C192" s="49"/>
      <c r="D192" s="126" t="s">
        <v>16</v>
      </c>
      <c r="E192" s="50"/>
      <c r="F192" s="42"/>
      <c r="G192" s="30">
        <f t="shared" si="1"/>
        <v>0</v>
      </c>
      <c r="H192" s="30">
        <f t="shared" si="2"/>
        <v>0</v>
      </c>
      <c r="I192" s="30">
        <f t="shared" si="3"/>
        <v>0</v>
      </c>
      <c r="J192" s="30">
        <f t="shared" si="4"/>
        <v>0</v>
      </c>
      <c r="K192" s="44"/>
      <c r="L192" s="42"/>
      <c r="O192" s="8"/>
      <c r="P192" s="8"/>
    </row>
    <row r="193">
      <c r="A193" s="33"/>
      <c r="B193" s="131" t="s">
        <v>253</v>
      </c>
      <c r="C193" s="35"/>
      <c r="D193" s="47" t="s">
        <v>16</v>
      </c>
      <c r="E193" s="36">
        <v>1.0</v>
      </c>
      <c r="F193" s="37"/>
      <c r="G193" s="14">
        <f t="shared" si="1"/>
        <v>0</v>
      </c>
      <c r="H193" s="14">
        <f t="shared" si="2"/>
        <v>0</v>
      </c>
      <c r="I193" s="14">
        <f t="shared" si="3"/>
        <v>0</v>
      </c>
      <c r="J193" s="14">
        <f t="shared" si="4"/>
        <v>0</v>
      </c>
      <c r="K193" s="38"/>
      <c r="L193" s="37"/>
      <c r="O193" s="8"/>
      <c r="P193" s="8"/>
    </row>
    <row r="194">
      <c r="A194" s="103">
        <v>77.0</v>
      </c>
      <c r="B194" s="39" t="s">
        <v>254</v>
      </c>
      <c r="C194" s="132" t="s">
        <v>255</v>
      </c>
      <c r="D194" s="40" t="s">
        <v>16</v>
      </c>
      <c r="E194" s="41">
        <v>1000.0</v>
      </c>
      <c r="F194" s="58"/>
      <c r="G194" s="23">
        <f t="shared" si="1"/>
        <v>0</v>
      </c>
      <c r="H194" s="23">
        <f t="shared" si="2"/>
        <v>0</v>
      </c>
      <c r="I194" s="23">
        <f t="shared" si="3"/>
        <v>0</v>
      </c>
      <c r="J194" s="23">
        <f t="shared" si="4"/>
        <v>0</v>
      </c>
      <c r="K194" s="24"/>
      <c r="L194" s="58"/>
      <c r="O194" s="8"/>
      <c r="P194" s="8"/>
    </row>
    <row r="195">
      <c r="A195" s="25"/>
      <c r="B195" s="132" t="s">
        <v>256</v>
      </c>
      <c r="C195" s="132" t="s">
        <v>255</v>
      </c>
      <c r="D195" s="49" t="s">
        <v>16</v>
      </c>
      <c r="E195" s="50">
        <v>750.0</v>
      </c>
      <c r="F195" s="29"/>
      <c r="G195" s="30">
        <f t="shared" si="1"/>
        <v>0</v>
      </c>
      <c r="H195" s="30">
        <f t="shared" si="2"/>
        <v>0</v>
      </c>
      <c r="I195" s="30">
        <f t="shared" si="3"/>
        <v>0</v>
      </c>
      <c r="J195" s="30">
        <f t="shared" si="4"/>
        <v>0</v>
      </c>
      <c r="K195" s="31"/>
      <c r="L195" s="29"/>
      <c r="O195" s="8"/>
      <c r="P195" s="8"/>
    </row>
    <row r="196">
      <c r="A196" s="25"/>
      <c r="B196" s="132" t="s">
        <v>257</v>
      </c>
      <c r="C196" s="132" t="s">
        <v>255</v>
      </c>
      <c r="D196" s="49" t="s">
        <v>16</v>
      </c>
      <c r="E196" s="50">
        <v>500.0</v>
      </c>
      <c r="F196" s="29"/>
      <c r="G196" s="30">
        <f t="shared" si="1"/>
        <v>0</v>
      </c>
      <c r="H196" s="30">
        <f t="shared" si="2"/>
        <v>0</v>
      </c>
      <c r="I196" s="30">
        <f t="shared" si="3"/>
        <v>0</v>
      </c>
      <c r="J196" s="30">
        <f t="shared" si="4"/>
        <v>0</v>
      </c>
      <c r="K196" s="31"/>
      <c r="L196" s="29"/>
      <c r="O196" s="8"/>
      <c r="P196" s="8"/>
    </row>
    <row r="197">
      <c r="A197" s="33"/>
      <c r="B197" s="34" t="s">
        <v>258</v>
      </c>
      <c r="C197" s="35" t="s">
        <v>259</v>
      </c>
      <c r="D197" s="35" t="s">
        <v>16</v>
      </c>
      <c r="E197" s="36">
        <v>30.0</v>
      </c>
      <c r="F197" s="37"/>
      <c r="G197" s="14">
        <f t="shared" si="1"/>
        <v>0</v>
      </c>
      <c r="H197" s="14">
        <f t="shared" si="2"/>
        <v>0</v>
      </c>
      <c r="I197" s="14">
        <f t="shared" si="3"/>
        <v>0</v>
      </c>
      <c r="J197" s="14">
        <f t="shared" si="4"/>
        <v>0</v>
      </c>
      <c r="K197" s="38"/>
      <c r="L197" s="37"/>
      <c r="O197" s="8"/>
      <c r="P197" s="8"/>
    </row>
    <row r="198">
      <c r="A198" s="117">
        <v>78.0</v>
      </c>
      <c r="B198" s="10" t="s">
        <v>260</v>
      </c>
      <c r="C198" s="11" t="s">
        <v>260</v>
      </c>
      <c r="D198" s="11" t="s">
        <v>16</v>
      </c>
      <c r="E198" s="12">
        <v>300.0</v>
      </c>
      <c r="F198" s="54">
        <v>30.0</v>
      </c>
      <c r="G198" s="55">
        <f t="shared" si="1"/>
        <v>37.5</v>
      </c>
      <c r="H198" s="55">
        <f t="shared" si="2"/>
        <v>48.75</v>
      </c>
      <c r="I198" s="55">
        <f t="shared" si="3"/>
        <v>51.1875</v>
      </c>
      <c r="J198" s="55">
        <f t="shared" si="4"/>
        <v>58.865625</v>
      </c>
      <c r="K198" s="56"/>
      <c r="L198" s="54">
        <v>90.0</v>
      </c>
      <c r="O198" s="8"/>
      <c r="P198" s="8"/>
    </row>
    <row r="199">
      <c r="A199" s="103">
        <v>79.0</v>
      </c>
      <c r="B199" s="19" t="s">
        <v>261</v>
      </c>
      <c r="C199" s="20" t="s">
        <v>262</v>
      </c>
      <c r="D199" s="20" t="s">
        <v>16</v>
      </c>
      <c r="E199" s="21">
        <v>1000.0</v>
      </c>
      <c r="F199" s="58">
        <f>3826.09*1.15</f>
        <v>4400.0035</v>
      </c>
      <c r="G199" s="23">
        <f t="shared" si="1"/>
        <v>5500.004375</v>
      </c>
      <c r="H199" s="23">
        <f t="shared" si="2"/>
        <v>7150.005688</v>
      </c>
      <c r="I199" s="23">
        <f t="shared" si="3"/>
        <v>7507.505972</v>
      </c>
      <c r="J199" s="23">
        <f t="shared" si="4"/>
        <v>8633.631868</v>
      </c>
      <c r="K199" s="24"/>
      <c r="L199" s="87">
        <v>9500.0</v>
      </c>
      <c r="M199" s="53">
        <v>8500.0</v>
      </c>
      <c r="N199" s="92">
        <v>9000.0</v>
      </c>
      <c r="O199" s="8">
        <f>N199-1.15</f>
        <v>8998.85</v>
      </c>
      <c r="P199" s="8">
        <f>O199/1.05</f>
        <v>8570.333333</v>
      </c>
    </row>
    <row r="200">
      <c r="A200" s="25"/>
      <c r="B200" s="133" t="s">
        <v>263</v>
      </c>
      <c r="C200" s="134" t="s">
        <v>262</v>
      </c>
      <c r="D200" s="134" t="s">
        <v>16</v>
      </c>
      <c r="E200" s="135">
        <v>750.0</v>
      </c>
      <c r="F200" s="136">
        <v>3300.0</v>
      </c>
      <c r="G200" s="137">
        <f t="shared" si="1"/>
        <v>4125</v>
      </c>
      <c r="H200" s="137">
        <f t="shared" si="2"/>
        <v>5362.5</v>
      </c>
      <c r="I200" s="137">
        <f t="shared" si="3"/>
        <v>5630.625</v>
      </c>
      <c r="J200" s="137">
        <f t="shared" si="4"/>
        <v>6475.21875</v>
      </c>
      <c r="K200" s="138"/>
      <c r="L200" s="136">
        <v>8000.0</v>
      </c>
      <c r="M200" s="139"/>
      <c r="N200" s="139"/>
      <c r="O200" s="8"/>
      <c r="P200" s="8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>
      <c r="A201" s="25"/>
      <c r="B201" s="133" t="s">
        <v>264</v>
      </c>
      <c r="C201" s="134" t="s">
        <v>265</v>
      </c>
      <c r="D201" s="134" t="s">
        <v>16</v>
      </c>
      <c r="E201" s="135">
        <v>500.0</v>
      </c>
      <c r="F201" s="140">
        <f>2826.09*1.15</f>
        <v>3250.0035</v>
      </c>
      <c r="G201" s="137">
        <f t="shared" si="1"/>
        <v>4062.504375</v>
      </c>
      <c r="H201" s="137">
        <f t="shared" si="2"/>
        <v>5281.255688</v>
      </c>
      <c r="I201" s="137">
        <f t="shared" si="3"/>
        <v>5545.318472</v>
      </c>
      <c r="J201" s="137">
        <f t="shared" si="4"/>
        <v>6377.116243</v>
      </c>
      <c r="K201" s="138"/>
      <c r="L201" s="136">
        <v>6500.0</v>
      </c>
      <c r="M201" s="141">
        <v>6000.0</v>
      </c>
      <c r="N201" s="92">
        <v>6500.0</v>
      </c>
      <c r="O201" s="8">
        <f>N201-1.15</f>
        <v>6498.85</v>
      </c>
      <c r="P201" s="8">
        <f>O201/1.05</f>
        <v>6189.380952</v>
      </c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>
      <c r="A202" s="33"/>
      <c r="B202" s="10" t="s">
        <v>266</v>
      </c>
      <c r="C202" s="11" t="s">
        <v>262</v>
      </c>
      <c r="D202" s="11" t="s">
        <v>16</v>
      </c>
      <c r="E202" s="12">
        <v>30.0</v>
      </c>
      <c r="F202" s="37">
        <f>4400/32</f>
        <v>137.5</v>
      </c>
      <c r="G202" s="14">
        <f t="shared" si="1"/>
        <v>171.875</v>
      </c>
      <c r="H202" s="14">
        <f t="shared" si="2"/>
        <v>223.4375</v>
      </c>
      <c r="I202" s="14">
        <f t="shared" si="3"/>
        <v>234.609375</v>
      </c>
      <c r="J202" s="14">
        <f t="shared" si="4"/>
        <v>269.8007813</v>
      </c>
      <c r="K202" s="38"/>
      <c r="L202" s="13">
        <v>400.0</v>
      </c>
      <c r="O202" s="8"/>
      <c r="P202" s="8"/>
    </row>
    <row r="203">
      <c r="A203" s="142">
        <v>80.0</v>
      </c>
      <c r="B203" s="19" t="s">
        <v>267</v>
      </c>
      <c r="C203" s="20" t="s">
        <v>268</v>
      </c>
      <c r="D203" s="20" t="s">
        <v>16</v>
      </c>
      <c r="E203" s="21">
        <v>1000.0</v>
      </c>
      <c r="F203" s="58"/>
      <c r="G203" s="23">
        <f t="shared" si="1"/>
        <v>0</v>
      </c>
      <c r="H203" s="23">
        <f t="shared" si="2"/>
        <v>0</v>
      </c>
      <c r="I203" s="23">
        <f t="shared" si="3"/>
        <v>0</v>
      </c>
      <c r="J203" s="23">
        <f t="shared" si="4"/>
        <v>0</v>
      </c>
      <c r="K203" s="24"/>
      <c r="L203" s="58"/>
      <c r="O203" s="8"/>
      <c r="P203" s="8"/>
    </row>
    <row r="204">
      <c r="A204" s="143"/>
      <c r="B204" s="26" t="s">
        <v>269</v>
      </c>
      <c r="C204" s="27" t="s">
        <v>268</v>
      </c>
      <c r="D204" s="27" t="s">
        <v>16</v>
      </c>
      <c r="E204" s="28">
        <v>500.0</v>
      </c>
      <c r="F204" s="29"/>
      <c r="G204" s="30">
        <f t="shared" si="1"/>
        <v>0</v>
      </c>
      <c r="H204" s="30">
        <f t="shared" si="2"/>
        <v>0</v>
      </c>
      <c r="I204" s="30">
        <f t="shared" si="3"/>
        <v>0</v>
      </c>
      <c r="J204" s="30">
        <f t="shared" si="4"/>
        <v>0</v>
      </c>
      <c r="K204" s="31"/>
      <c r="L204" s="29"/>
      <c r="O204" s="8"/>
      <c r="P204" s="8"/>
    </row>
    <row r="205">
      <c r="A205" s="144"/>
      <c r="B205" s="34" t="s">
        <v>270</v>
      </c>
      <c r="C205" s="35" t="s">
        <v>268</v>
      </c>
      <c r="D205" s="35" t="s">
        <v>16</v>
      </c>
      <c r="E205" s="36">
        <v>30.0</v>
      </c>
      <c r="F205" s="37"/>
      <c r="G205" s="14">
        <f t="shared" si="1"/>
        <v>0</v>
      </c>
      <c r="H205" s="14">
        <f t="shared" si="2"/>
        <v>0</v>
      </c>
      <c r="I205" s="14">
        <f t="shared" si="3"/>
        <v>0</v>
      </c>
      <c r="J205" s="14">
        <f t="shared" si="4"/>
        <v>0</v>
      </c>
      <c r="K205" s="38"/>
      <c r="L205" s="37"/>
      <c r="O205" s="8"/>
      <c r="P205" s="8"/>
    </row>
    <row r="206">
      <c r="A206" s="117">
        <v>81.0</v>
      </c>
      <c r="B206" s="10" t="s">
        <v>271</v>
      </c>
      <c r="C206" s="11" t="s">
        <v>272</v>
      </c>
      <c r="D206" s="11" t="s">
        <v>16</v>
      </c>
      <c r="E206" s="12">
        <v>0.5</v>
      </c>
      <c r="F206" s="54">
        <v>16.66</v>
      </c>
      <c r="G206" s="55">
        <f t="shared" si="1"/>
        <v>20.825</v>
      </c>
      <c r="H206" s="55">
        <f t="shared" si="2"/>
        <v>27.0725</v>
      </c>
      <c r="I206" s="55">
        <f t="shared" si="3"/>
        <v>28.426125</v>
      </c>
      <c r="J206" s="55">
        <f t="shared" si="4"/>
        <v>32.69004375</v>
      </c>
      <c r="K206" s="56"/>
      <c r="L206" s="54">
        <v>45.0</v>
      </c>
      <c r="O206" s="8"/>
      <c r="P206" s="8"/>
    </row>
    <row r="207">
      <c r="A207" s="117">
        <v>82.0</v>
      </c>
      <c r="B207" s="80" t="s">
        <v>273</v>
      </c>
      <c r="C207" s="11" t="s">
        <v>274</v>
      </c>
      <c r="D207" s="11" t="s">
        <v>16</v>
      </c>
      <c r="E207" s="12">
        <v>1000.0</v>
      </c>
      <c r="F207" s="54">
        <v>25.83</v>
      </c>
      <c r="G207" s="55">
        <f t="shared" si="1"/>
        <v>32.2875</v>
      </c>
      <c r="H207" s="55">
        <f t="shared" si="2"/>
        <v>41.97375</v>
      </c>
      <c r="I207" s="55">
        <f t="shared" si="3"/>
        <v>44.0724375</v>
      </c>
      <c r="J207" s="55">
        <f t="shared" si="4"/>
        <v>50.68330313</v>
      </c>
      <c r="K207" s="56"/>
      <c r="L207" s="54">
        <v>60.0</v>
      </c>
      <c r="O207" s="8"/>
      <c r="P207" s="8"/>
    </row>
    <row r="208">
      <c r="F208" s="8"/>
      <c r="L208" s="8"/>
      <c r="O208" s="8"/>
      <c r="P208" s="8"/>
    </row>
    <row r="209">
      <c r="F209" s="8"/>
      <c r="L209" s="8"/>
      <c r="O209" s="8"/>
      <c r="P209" s="8"/>
    </row>
    <row r="210">
      <c r="F210" s="8"/>
      <c r="L210" s="8"/>
      <c r="O210" s="8"/>
      <c r="P210" s="8"/>
    </row>
    <row r="211">
      <c r="F211" s="8"/>
      <c r="L211" s="8"/>
      <c r="O211" s="8"/>
      <c r="P211" s="8"/>
    </row>
    <row r="212">
      <c r="F212" s="8"/>
      <c r="L212" s="8"/>
      <c r="O212" s="8"/>
      <c r="P212" s="8"/>
    </row>
    <row r="213">
      <c r="F213" s="8"/>
      <c r="L213" s="8"/>
      <c r="O213" s="8"/>
      <c r="P213" s="8"/>
    </row>
    <row r="214">
      <c r="F214" s="8"/>
      <c r="L214" s="8"/>
      <c r="O214" s="8"/>
      <c r="P214" s="8"/>
    </row>
    <row r="215">
      <c r="F215" s="8"/>
      <c r="L215" s="8"/>
      <c r="O215" s="8"/>
      <c r="P215" s="8"/>
    </row>
    <row r="216">
      <c r="F216" s="8"/>
      <c r="L216" s="8"/>
      <c r="O216" s="8"/>
      <c r="P216" s="8"/>
    </row>
    <row r="217">
      <c r="F217" s="8"/>
      <c r="L217" s="8"/>
      <c r="O217" s="8"/>
      <c r="P217" s="8"/>
    </row>
    <row r="218">
      <c r="F218" s="8"/>
      <c r="L218" s="8"/>
      <c r="O218" s="8"/>
      <c r="P218" s="8"/>
    </row>
    <row r="219">
      <c r="F219" s="8"/>
      <c r="L219" s="8"/>
      <c r="O219" s="8"/>
      <c r="P219" s="8"/>
    </row>
    <row r="220">
      <c r="F220" s="8"/>
      <c r="L220" s="8"/>
      <c r="O220" s="8"/>
      <c r="P220" s="8"/>
    </row>
    <row r="221">
      <c r="F221" s="8"/>
      <c r="L221" s="8"/>
      <c r="O221" s="8"/>
      <c r="P221" s="8"/>
    </row>
    <row r="222">
      <c r="F222" s="8"/>
      <c r="L222" s="8"/>
      <c r="O222" s="8"/>
      <c r="P222" s="8"/>
    </row>
    <row r="223">
      <c r="F223" s="8"/>
      <c r="L223" s="8"/>
      <c r="O223" s="8"/>
      <c r="P223" s="8"/>
    </row>
    <row r="224">
      <c r="F224" s="8"/>
      <c r="L224" s="8"/>
      <c r="O224" s="8"/>
      <c r="P224" s="8"/>
    </row>
    <row r="225">
      <c r="F225" s="8"/>
      <c r="L225" s="8"/>
      <c r="O225" s="8"/>
      <c r="P225" s="8"/>
    </row>
    <row r="226">
      <c r="F226" s="8"/>
      <c r="L226" s="8"/>
      <c r="O226" s="8"/>
      <c r="P226" s="8"/>
    </row>
    <row r="227">
      <c r="F227" s="8"/>
      <c r="L227" s="8"/>
      <c r="O227" s="8"/>
      <c r="P227" s="8"/>
    </row>
    <row r="228">
      <c r="F228" s="8"/>
      <c r="L228" s="8"/>
      <c r="O228" s="8"/>
      <c r="P228" s="8"/>
    </row>
    <row r="229">
      <c r="F229" s="8"/>
      <c r="L229" s="8"/>
      <c r="O229" s="8"/>
      <c r="P229" s="8"/>
    </row>
    <row r="230">
      <c r="F230" s="8"/>
      <c r="L230" s="8"/>
      <c r="O230" s="8"/>
      <c r="P230" s="8"/>
    </row>
    <row r="231">
      <c r="F231" s="8"/>
      <c r="L231" s="8"/>
      <c r="O231" s="8"/>
      <c r="P231" s="8"/>
    </row>
    <row r="232">
      <c r="F232" s="8"/>
      <c r="L232" s="8"/>
      <c r="O232" s="8"/>
      <c r="P232" s="8"/>
    </row>
    <row r="233">
      <c r="F233" s="8"/>
      <c r="L233" s="8"/>
      <c r="O233" s="8"/>
      <c r="P233" s="8"/>
    </row>
    <row r="234">
      <c r="F234" s="8"/>
      <c r="L234" s="8"/>
      <c r="O234" s="8"/>
      <c r="P234" s="8"/>
    </row>
    <row r="235">
      <c r="F235" s="8"/>
      <c r="L235" s="8"/>
      <c r="O235" s="8"/>
      <c r="P235" s="8"/>
    </row>
    <row r="236">
      <c r="F236" s="8"/>
      <c r="L236" s="8"/>
      <c r="O236" s="8"/>
      <c r="P236" s="8"/>
    </row>
    <row r="237">
      <c r="F237" s="8"/>
      <c r="L237" s="8"/>
      <c r="O237" s="8"/>
      <c r="P237" s="8"/>
    </row>
    <row r="238">
      <c r="F238" s="8"/>
      <c r="L238" s="8"/>
      <c r="O238" s="8"/>
      <c r="P238" s="8"/>
    </row>
    <row r="239">
      <c r="F239" s="8"/>
      <c r="L239" s="8"/>
      <c r="O239" s="8"/>
      <c r="P239" s="8"/>
    </row>
    <row r="240">
      <c r="F240" s="8"/>
      <c r="L240" s="8"/>
      <c r="O240" s="8"/>
      <c r="P240" s="8"/>
    </row>
    <row r="241">
      <c r="F241" s="8"/>
      <c r="L241" s="8"/>
      <c r="O241" s="8"/>
      <c r="P241" s="8"/>
    </row>
    <row r="242">
      <c r="F242" s="8"/>
      <c r="L242" s="8"/>
      <c r="O242" s="8"/>
      <c r="P242" s="8"/>
    </row>
    <row r="243">
      <c r="F243" s="8"/>
      <c r="L243" s="8"/>
      <c r="O243" s="8"/>
      <c r="P243" s="8"/>
    </row>
    <row r="244">
      <c r="F244" s="8"/>
      <c r="L244" s="8"/>
      <c r="O244" s="8"/>
      <c r="P244" s="8"/>
    </row>
    <row r="245">
      <c r="F245" s="8"/>
      <c r="L245" s="8"/>
      <c r="O245" s="8"/>
      <c r="P245" s="8"/>
    </row>
    <row r="246">
      <c r="F246" s="8"/>
      <c r="L246" s="8"/>
      <c r="O246" s="8"/>
      <c r="P246" s="8"/>
    </row>
    <row r="247">
      <c r="F247" s="8"/>
      <c r="L247" s="8"/>
      <c r="O247" s="8"/>
      <c r="P247" s="8"/>
    </row>
    <row r="248">
      <c r="F248" s="8"/>
      <c r="L248" s="8"/>
      <c r="O248" s="8"/>
      <c r="P248" s="8"/>
    </row>
    <row r="249">
      <c r="F249" s="8"/>
      <c r="L249" s="8"/>
      <c r="O249" s="8"/>
      <c r="P249" s="8"/>
    </row>
    <row r="250">
      <c r="F250" s="8"/>
      <c r="L250" s="8"/>
      <c r="O250" s="8"/>
      <c r="P250" s="8"/>
    </row>
    <row r="251">
      <c r="F251" s="8"/>
      <c r="L251" s="8"/>
      <c r="O251" s="8"/>
      <c r="P251" s="8"/>
    </row>
    <row r="252">
      <c r="F252" s="8"/>
      <c r="L252" s="8"/>
      <c r="O252" s="8"/>
      <c r="P252" s="8"/>
    </row>
    <row r="253">
      <c r="F253" s="8"/>
      <c r="L253" s="8"/>
      <c r="O253" s="8"/>
      <c r="P253" s="8"/>
    </row>
    <row r="254">
      <c r="F254" s="8"/>
      <c r="L254" s="8"/>
      <c r="O254" s="8"/>
      <c r="P254" s="8"/>
    </row>
    <row r="255">
      <c r="F255" s="8"/>
      <c r="L255" s="8"/>
      <c r="O255" s="8"/>
      <c r="P255" s="8"/>
    </row>
    <row r="256">
      <c r="F256" s="8"/>
      <c r="L256" s="8"/>
      <c r="O256" s="8"/>
      <c r="P256" s="8"/>
    </row>
    <row r="257">
      <c r="F257" s="8"/>
      <c r="L257" s="8"/>
      <c r="O257" s="8"/>
      <c r="P257" s="8"/>
    </row>
    <row r="258">
      <c r="F258" s="8"/>
      <c r="L258" s="8"/>
      <c r="O258" s="8"/>
      <c r="P258" s="8"/>
    </row>
    <row r="259">
      <c r="F259" s="8"/>
      <c r="L259" s="8"/>
      <c r="O259" s="8"/>
      <c r="P259" s="8"/>
    </row>
    <row r="260">
      <c r="F260" s="8"/>
      <c r="L260" s="8"/>
      <c r="O260" s="8"/>
      <c r="P260" s="8"/>
    </row>
    <row r="261">
      <c r="F261" s="8"/>
      <c r="L261" s="8"/>
      <c r="O261" s="8"/>
      <c r="P261" s="8"/>
    </row>
    <row r="262">
      <c r="F262" s="8"/>
      <c r="L262" s="8"/>
      <c r="O262" s="8"/>
      <c r="P262" s="8"/>
    </row>
    <row r="263">
      <c r="F263" s="8"/>
      <c r="L263" s="8"/>
      <c r="O263" s="8"/>
      <c r="P263" s="8"/>
    </row>
    <row r="264">
      <c r="F264" s="8"/>
      <c r="L264" s="8"/>
      <c r="O264" s="8"/>
      <c r="P264" s="8"/>
    </row>
    <row r="265">
      <c r="F265" s="8"/>
      <c r="L265" s="8"/>
      <c r="O265" s="8"/>
      <c r="P265" s="8"/>
    </row>
    <row r="266">
      <c r="F266" s="8"/>
      <c r="L266" s="8"/>
      <c r="O266" s="8"/>
      <c r="P266" s="8"/>
    </row>
    <row r="267">
      <c r="F267" s="8"/>
      <c r="L267" s="8"/>
      <c r="O267" s="8"/>
      <c r="P267" s="8"/>
    </row>
    <row r="268">
      <c r="F268" s="8"/>
      <c r="L268" s="8"/>
      <c r="O268" s="8"/>
      <c r="P268" s="8"/>
    </row>
    <row r="269">
      <c r="F269" s="8"/>
      <c r="L269" s="8"/>
      <c r="O269" s="8"/>
      <c r="P269" s="8"/>
    </row>
    <row r="270">
      <c r="F270" s="8"/>
      <c r="L270" s="8"/>
      <c r="O270" s="8"/>
      <c r="P270" s="8"/>
    </row>
    <row r="271">
      <c r="F271" s="8"/>
      <c r="L271" s="8"/>
      <c r="O271" s="8"/>
      <c r="P271" s="8"/>
    </row>
    <row r="272">
      <c r="F272" s="8"/>
      <c r="L272" s="8"/>
      <c r="O272" s="8"/>
      <c r="P272" s="8"/>
    </row>
    <row r="273">
      <c r="F273" s="8"/>
      <c r="L273" s="8"/>
      <c r="O273" s="8"/>
      <c r="P273" s="8"/>
    </row>
    <row r="274">
      <c r="F274" s="8"/>
      <c r="L274" s="8"/>
      <c r="O274" s="8"/>
      <c r="P274" s="8"/>
    </row>
    <row r="275">
      <c r="F275" s="8"/>
      <c r="L275" s="8"/>
      <c r="O275" s="8"/>
      <c r="P275" s="8"/>
    </row>
    <row r="276">
      <c r="F276" s="8"/>
      <c r="L276" s="8"/>
      <c r="O276" s="8"/>
      <c r="P276" s="8"/>
    </row>
    <row r="277">
      <c r="F277" s="8"/>
      <c r="L277" s="8"/>
      <c r="O277" s="8"/>
      <c r="P277" s="8"/>
    </row>
    <row r="278">
      <c r="F278" s="8"/>
      <c r="L278" s="8"/>
      <c r="O278" s="8"/>
      <c r="P278" s="8"/>
    </row>
    <row r="279">
      <c r="F279" s="8"/>
      <c r="L279" s="8"/>
      <c r="O279" s="8"/>
      <c r="P279" s="8"/>
    </row>
    <row r="280">
      <c r="F280" s="8"/>
      <c r="L280" s="8"/>
      <c r="O280" s="8"/>
      <c r="P280" s="8"/>
    </row>
    <row r="281">
      <c r="F281" s="8"/>
      <c r="L281" s="8"/>
      <c r="O281" s="8"/>
      <c r="P281" s="8"/>
    </row>
    <row r="282">
      <c r="F282" s="8"/>
      <c r="L282" s="8"/>
      <c r="O282" s="8"/>
      <c r="P282" s="8"/>
    </row>
    <row r="283">
      <c r="F283" s="8"/>
      <c r="L283" s="8"/>
      <c r="O283" s="8"/>
      <c r="P283" s="8"/>
    </row>
    <row r="284">
      <c r="F284" s="8"/>
      <c r="L284" s="8"/>
      <c r="O284" s="8"/>
      <c r="P284" s="8"/>
    </row>
    <row r="285">
      <c r="F285" s="8"/>
      <c r="L285" s="8"/>
      <c r="O285" s="8"/>
      <c r="P285" s="8"/>
    </row>
    <row r="286">
      <c r="F286" s="8"/>
      <c r="L286" s="8"/>
      <c r="O286" s="8"/>
      <c r="P286" s="8"/>
    </row>
    <row r="287">
      <c r="F287" s="8"/>
      <c r="L287" s="8"/>
      <c r="O287" s="8"/>
      <c r="P287" s="8"/>
    </row>
    <row r="288">
      <c r="F288" s="8"/>
      <c r="L288" s="8"/>
      <c r="O288" s="8"/>
      <c r="P288" s="8"/>
    </row>
    <row r="289">
      <c r="F289" s="8"/>
      <c r="L289" s="8"/>
      <c r="O289" s="8"/>
      <c r="P289" s="8"/>
    </row>
    <row r="290">
      <c r="F290" s="8"/>
      <c r="L290" s="8"/>
      <c r="O290" s="8"/>
      <c r="P290" s="8"/>
    </row>
    <row r="291">
      <c r="F291" s="8"/>
      <c r="L291" s="8"/>
      <c r="O291" s="8"/>
      <c r="P291" s="8"/>
    </row>
    <row r="292">
      <c r="F292" s="8"/>
      <c r="L292" s="8"/>
      <c r="O292" s="8"/>
      <c r="P292" s="8"/>
    </row>
    <row r="293">
      <c r="F293" s="8"/>
      <c r="L293" s="8"/>
      <c r="O293" s="8"/>
      <c r="P293" s="8"/>
    </row>
    <row r="294">
      <c r="F294" s="8"/>
      <c r="L294" s="8"/>
      <c r="O294" s="8"/>
      <c r="P294" s="8"/>
    </row>
    <row r="295">
      <c r="F295" s="8"/>
      <c r="L295" s="8"/>
      <c r="O295" s="8"/>
      <c r="P295" s="8"/>
    </row>
    <row r="296">
      <c r="F296" s="8"/>
      <c r="L296" s="8"/>
      <c r="O296" s="8"/>
      <c r="P296" s="8"/>
    </row>
    <row r="297">
      <c r="F297" s="8"/>
      <c r="L297" s="8"/>
      <c r="O297" s="8"/>
      <c r="P297" s="8"/>
    </row>
    <row r="298">
      <c r="F298" s="8"/>
      <c r="L298" s="8"/>
      <c r="O298" s="8"/>
      <c r="P298" s="8"/>
    </row>
    <row r="299">
      <c r="F299" s="8"/>
      <c r="L299" s="8"/>
      <c r="O299" s="8"/>
      <c r="P299" s="8"/>
    </row>
    <row r="300">
      <c r="F300" s="8"/>
      <c r="L300" s="8"/>
      <c r="O300" s="8"/>
      <c r="P300" s="8"/>
    </row>
    <row r="301">
      <c r="F301" s="8"/>
      <c r="L301" s="8"/>
      <c r="O301" s="8"/>
      <c r="P301" s="8"/>
    </row>
    <row r="302">
      <c r="F302" s="8"/>
      <c r="L302" s="8"/>
      <c r="O302" s="8"/>
      <c r="P302" s="8"/>
    </row>
    <row r="303">
      <c r="F303" s="8"/>
      <c r="L303" s="8"/>
      <c r="O303" s="8"/>
      <c r="P303" s="8"/>
    </row>
    <row r="304">
      <c r="F304" s="8"/>
      <c r="L304" s="8"/>
      <c r="O304" s="8"/>
      <c r="P304" s="8"/>
    </row>
    <row r="305">
      <c r="F305" s="8"/>
      <c r="L305" s="8"/>
      <c r="O305" s="8"/>
      <c r="P305" s="8"/>
    </row>
    <row r="306">
      <c r="F306" s="8"/>
      <c r="L306" s="8"/>
      <c r="O306" s="8"/>
      <c r="P306" s="8"/>
    </row>
    <row r="307">
      <c r="F307" s="8"/>
      <c r="L307" s="8"/>
      <c r="O307" s="8"/>
      <c r="P307" s="8"/>
    </row>
    <row r="308">
      <c r="F308" s="8"/>
      <c r="L308" s="8"/>
      <c r="O308" s="8"/>
      <c r="P308" s="8"/>
    </row>
    <row r="309">
      <c r="F309" s="8"/>
      <c r="L309" s="8"/>
      <c r="O309" s="8"/>
      <c r="P309" s="8"/>
    </row>
    <row r="310">
      <c r="F310" s="8"/>
      <c r="L310" s="8"/>
      <c r="O310" s="8"/>
      <c r="P310" s="8"/>
    </row>
    <row r="311">
      <c r="F311" s="8"/>
      <c r="L311" s="8"/>
      <c r="O311" s="8"/>
      <c r="P311" s="8"/>
    </row>
    <row r="312">
      <c r="F312" s="8"/>
      <c r="L312" s="8"/>
      <c r="O312" s="8"/>
      <c r="P312" s="8"/>
    </row>
    <row r="313">
      <c r="F313" s="8"/>
      <c r="L313" s="8"/>
      <c r="O313" s="8"/>
      <c r="P313" s="8"/>
    </row>
    <row r="314">
      <c r="F314" s="8"/>
      <c r="L314" s="8"/>
      <c r="O314" s="8"/>
      <c r="P314" s="8"/>
    </row>
    <row r="315">
      <c r="F315" s="8"/>
      <c r="L315" s="8"/>
      <c r="O315" s="8"/>
      <c r="P315" s="8"/>
    </row>
    <row r="316">
      <c r="F316" s="8"/>
      <c r="L316" s="8"/>
      <c r="O316" s="8"/>
      <c r="P316" s="8"/>
    </row>
    <row r="317">
      <c r="F317" s="8"/>
      <c r="L317" s="8"/>
      <c r="O317" s="8"/>
      <c r="P317" s="8"/>
    </row>
    <row r="318">
      <c r="F318" s="8"/>
      <c r="L318" s="8"/>
      <c r="O318" s="8"/>
      <c r="P318" s="8"/>
    </row>
    <row r="319">
      <c r="F319" s="8"/>
      <c r="L319" s="8"/>
      <c r="O319" s="8"/>
      <c r="P319" s="8"/>
    </row>
    <row r="320">
      <c r="F320" s="8"/>
      <c r="L320" s="8"/>
      <c r="O320" s="8"/>
      <c r="P320" s="8"/>
    </row>
    <row r="321">
      <c r="F321" s="8"/>
      <c r="L321" s="8"/>
      <c r="O321" s="8"/>
      <c r="P321" s="8"/>
    </row>
    <row r="322">
      <c r="F322" s="8"/>
      <c r="L322" s="8"/>
      <c r="O322" s="8"/>
      <c r="P322" s="8"/>
    </row>
    <row r="323">
      <c r="F323" s="8"/>
      <c r="L323" s="8"/>
      <c r="O323" s="8"/>
      <c r="P323" s="8"/>
    </row>
    <row r="324">
      <c r="F324" s="8"/>
      <c r="L324" s="8"/>
      <c r="O324" s="8"/>
      <c r="P324" s="8"/>
    </row>
    <row r="325">
      <c r="F325" s="8"/>
      <c r="L325" s="8"/>
      <c r="O325" s="8"/>
      <c r="P325" s="8"/>
    </row>
    <row r="326">
      <c r="F326" s="8"/>
      <c r="L326" s="8"/>
      <c r="O326" s="8"/>
      <c r="P326" s="8"/>
    </row>
    <row r="327">
      <c r="F327" s="8"/>
      <c r="L327" s="8"/>
      <c r="O327" s="8"/>
      <c r="P327" s="8"/>
    </row>
    <row r="328">
      <c r="F328" s="8"/>
      <c r="L328" s="8"/>
      <c r="O328" s="8"/>
      <c r="P328" s="8"/>
    </row>
    <row r="329">
      <c r="F329" s="8"/>
      <c r="L329" s="8"/>
      <c r="O329" s="8"/>
      <c r="P329" s="8"/>
    </row>
    <row r="330">
      <c r="F330" s="8"/>
      <c r="L330" s="8"/>
      <c r="O330" s="8"/>
      <c r="P330" s="8"/>
    </row>
    <row r="331">
      <c r="F331" s="8"/>
      <c r="L331" s="8"/>
      <c r="O331" s="8"/>
      <c r="P331" s="8"/>
    </row>
    <row r="332">
      <c r="F332" s="8"/>
      <c r="L332" s="8"/>
      <c r="O332" s="8"/>
      <c r="P332" s="8"/>
    </row>
    <row r="333">
      <c r="F333" s="8"/>
      <c r="L333" s="8"/>
      <c r="O333" s="8"/>
      <c r="P333" s="8"/>
    </row>
    <row r="334">
      <c r="F334" s="8"/>
      <c r="L334" s="8"/>
      <c r="O334" s="8"/>
      <c r="P334" s="8"/>
    </row>
    <row r="335">
      <c r="F335" s="8"/>
      <c r="L335" s="8"/>
      <c r="O335" s="8"/>
      <c r="P335" s="8"/>
    </row>
    <row r="336">
      <c r="F336" s="8"/>
      <c r="L336" s="8"/>
      <c r="O336" s="8"/>
      <c r="P336" s="8"/>
    </row>
    <row r="337">
      <c r="F337" s="8"/>
      <c r="L337" s="8"/>
      <c r="O337" s="8"/>
      <c r="P337" s="8"/>
    </row>
    <row r="338">
      <c r="F338" s="8"/>
      <c r="L338" s="8"/>
      <c r="O338" s="8"/>
      <c r="P338" s="8"/>
    </row>
    <row r="339">
      <c r="F339" s="8"/>
      <c r="L339" s="8"/>
      <c r="O339" s="8"/>
      <c r="P339" s="8"/>
    </row>
    <row r="340">
      <c r="F340" s="8"/>
      <c r="L340" s="8"/>
      <c r="O340" s="8"/>
      <c r="P340" s="8"/>
    </row>
    <row r="341">
      <c r="F341" s="8"/>
      <c r="L341" s="8"/>
      <c r="O341" s="8"/>
      <c r="P341" s="8"/>
    </row>
    <row r="342">
      <c r="F342" s="8"/>
      <c r="L342" s="8"/>
      <c r="O342" s="8"/>
      <c r="P342" s="8"/>
    </row>
    <row r="343">
      <c r="F343" s="8"/>
      <c r="L343" s="8"/>
      <c r="O343" s="8"/>
      <c r="P343" s="8"/>
    </row>
    <row r="344">
      <c r="F344" s="8"/>
      <c r="L344" s="8"/>
      <c r="O344" s="8"/>
      <c r="P344" s="8"/>
    </row>
    <row r="345">
      <c r="F345" s="8"/>
      <c r="L345" s="8"/>
      <c r="O345" s="8"/>
      <c r="P345" s="8"/>
    </row>
    <row r="346">
      <c r="F346" s="8"/>
      <c r="L346" s="8"/>
      <c r="O346" s="8"/>
      <c r="P346" s="8"/>
    </row>
    <row r="347">
      <c r="F347" s="8"/>
      <c r="L347" s="8"/>
      <c r="O347" s="8"/>
      <c r="P347" s="8"/>
    </row>
    <row r="348">
      <c r="F348" s="8"/>
      <c r="L348" s="8"/>
      <c r="O348" s="8"/>
      <c r="P348" s="8"/>
    </row>
    <row r="349">
      <c r="F349" s="8"/>
      <c r="L349" s="8"/>
      <c r="O349" s="8"/>
      <c r="P349" s="8"/>
    </row>
    <row r="350">
      <c r="F350" s="8"/>
      <c r="L350" s="8"/>
      <c r="O350" s="8"/>
      <c r="P350" s="8"/>
    </row>
    <row r="351">
      <c r="F351" s="8"/>
      <c r="L351" s="8"/>
      <c r="O351" s="8"/>
      <c r="P351" s="8"/>
    </row>
    <row r="352">
      <c r="F352" s="8"/>
      <c r="L352" s="8"/>
      <c r="O352" s="8"/>
      <c r="P352" s="8"/>
    </row>
    <row r="353">
      <c r="F353" s="8"/>
      <c r="L353" s="8"/>
      <c r="O353" s="8"/>
      <c r="P353" s="8"/>
    </row>
    <row r="354">
      <c r="F354" s="8"/>
      <c r="L354" s="8"/>
      <c r="O354" s="8"/>
      <c r="P354" s="8"/>
    </row>
    <row r="355">
      <c r="F355" s="8"/>
      <c r="L355" s="8"/>
      <c r="O355" s="8"/>
      <c r="P355" s="8"/>
    </row>
    <row r="356">
      <c r="F356" s="8"/>
      <c r="L356" s="8"/>
      <c r="O356" s="8"/>
      <c r="P356" s="8"/>
    </row>
    <row r="357">
      <c r="F357" s="8"/>
      <c r="L357" s="8"/>
      <c r="O357" s="8"/>
      <c r="P357" s="8"/>
    </row>
    <row r="358">
      <c r="F358" s="8"/>
      <c r="L358" s="8"/>
      <c r="O358" s="8"/>
      <c r="P358" s="8"/>
    </row>
    <row r="359">
      <c r="F359" s="8"/>
      <c r="L359" s="8"/>
      <c r="O359" s="8"/>
      <c r="P359" s="8"/>
    </row>
    <row r="360">
      <c r="F360" s="8"/>
      <c r="L360" s="8"/>
      <c r="O360" s="8"/>
      <c r="P360" s="8"/>
    </row>
    <row r="361">
      <c r="F361" s="8"/>
      <c r="L361" s="8"/>
      <c r="O361" s="8"/>
      <c r="P361" s="8"/>
    </row>
    <row r="362">
      <c r="F362" s="8"/>
      <c r="L362" s="8"/>
      <c r="O362" s="8"/>
      <c r="P362" s="8"/>
    </row>
    <row r="363">
      <c r="F363" s="8"/>
      <c r="L363" s="8"/>
      <c r="O363" s="8"/>
      <c r="P363" s="8"/>
    </row>
    <row r="364">
      <c r="F364" s="8"/>
      <c r="L364" s="8"/>
      <c r="O364" s="8"/>
      <c r="P364" s="8"/>
    </row>
    <row r="365">
      <c r="F365" s="8"/>
      <c r="L365" s="8"/>
      <c r="O365" s="8"/>
      <c r="P365" s="8"/>
    </row>
    <row r="366">
      <c r="F366" s="8"/>
      <c r="L366" s="8"/>
      <c r="O366" s="8"/>
      <c r="P366" s="8"/>
    </row>
    <row r="367">
      <c r="F367" s="8"/>
      <c r="L367" s="8"/>
      <c r="O367" s="8"/>
      <c r="P367" s="8"/>
    </row>
    <row r="368">
      <c r="F368" s="8"/>
      <c r="L368" s="8"/>
      <c r="O368" s="8"/>
      <c r="P368" s="8"/>
    </row>
    <row r="369">
      <c r="F369" s="8"/>
      <c r="L369" s="8"/>
      <c r="O369" s="8"/>
      <c r="P369" s="8"/>
    </row>
    <row r="370">
      <c r="F370" s="8"/>
      <c r="L370" s="8"/>
      <c r="O370" s="8"/>
      <c r="P370" s="8"/>
    </row>
    <row r="371">
      <c r="F371" s="8"/>
      <c r="L371" s="8"/>
      <c r="O371" s="8"/>
      <c r="P371" s="8"/>
    </row>
    <row r="372">
      <c r="F372" s="8"/>
      <c r="L372" s="8"/>
      <c r="O372" s="8"/>
      <c r="P372" s="8"/>
    </row>
    <row r="373">
      <c r="F373" s="8"/>
      <c r="L373" s="8"/>
      <c r="O373" s="8"/>
      <c r="P373" s="8"/>
    </row>
    <row r="374">
      <c r="F374" s="8"/>
      <c r="L374" s="8"/>
      <c r="O374" s="8"/>
      <c r="P374" s="8"/>
    </row>
    <row r="375">
      <c r="F375" s="8"/>
      <c r="L375" s="8"/>
      <c r="O375" s="8"/>
      <c r="P375" s="8"/>
    </row>
    <row r="376">
      <c r="F376" s="8"/>
      <c r="L376" s="8"/>
      <c r="O376" s="8"/>
      <c r="P376" s="8"/>
    </row>
    <row r="377">
      <c r="F377" s="8"/>
      <c r="L377" s="8"/>
      <c r="O377" s="8"/>
      <c r="P377" s="8"/>
    </row>
    <row r="378">
      <c r="F378" s="8"/>
      <c r="L378" s="8"/>
      <c r="O378" s="8"/>
      <c r="P378" s="8"/>
    </row>
    <row r="379">
      <c r="F379" s="8"/>
      <c r="L379" s="8"/>
      <c r="O379" s="8"/>
      <c r="P379" s="8"/>
    </row>
    <row r="380">
      <c r="F380" s="8"/>
      <c r="L380" s="8"/>
      <c r="O380" s="8"/>
      <c r="P380" s="8"/>
    </row>
    <row r="381">
      <c r="F381" s="8"/>
      <c r="L381" s="8"/>
      <c r="O381" s="8"/>
      <c r="P381" s="8"/>
    </row>
    <row r="382">
      <c r="F382" s="8"/>
      <c r="L382" s="8"/>
      <c r="O382" s="8"/>
      <c r="P382" s="8"/>
    </row>
    <row r="383">
      <c r="F383" s="8"/>
      <c r="L383" s="8"/>
      <c r="O383" s="8"/>
      <c r="P383" s="8"/>
    </row>
    <row r="384">
      <c r="F384" s="8"/>
      <c r="L384" s="8"/>
      <c r="O384" s="8"/>
      <c r="P384" s="8"/>
    </row>
    <row r="385">
      <c r="F385" s="8"/>
      <c r="L385" s="8"/>
      <c r="O385" s="8"/>
      <c r="P385" s="8"/>
    </row>
    <row r="386">
      <c r="F386" s="8"/>
      <c r="L386" s="8"/>
      <c r="O386" s="8"/>
      <c r="P386" s="8"/>
    </row>
    <row r="387">
      <c r="F387" s="8"/>
      <c r="L387" s="8"/>
      <c r="O387" s="8"/>
      <c r="P387" s="8"/>
    </row>
    <row r="388">
      <c r="F388" s="8"/>
      <c r="L388" s="8"/>
      <c r="O388" s="8"/>
      <c r="P388" s="8"/>
    </row>
    <row r="389">
      <c r="F389" s="8"/>
      <c r="L389" s="8"/>
      <c r="O389" s="8"/>
      <c r="P389" s="8"/>
    </row>
    <row r="390">
      <c r="F390" s="8"/>
      <c r="L390" s="8"/>
      <c r="O390" s="8"/>
      <c r="P390" s="8"/>
    </row>
    <row r="391">
      <c r="F391" s="8"/>
      <c r="L391" s="8"/>
      <c r="O391" s="8"/>
      <c r="P391" s="8"/>
    </row>
    <row r="392">
      <c r="F392" s="8"/>
      <c r="L392" s="8"/>
      <c r="O392" s="8"/>
      <c r="P392" s="8"/>
    </row>
    <row r="393">
      <c r="F393" s="8"/>
      <c r="L393" s="8"/>
      <c r="O393" s="8"/>
      <c r="P393" s="8"/>
    </row>
    <row r="394">
      <c r="F394" s="8"/>
      <c r="L394" s="8"/>
      <c r="O394" s="8"/>
      <c r="P394" s="8"/>
    </row>
    <row r="395">
      <c r="F395" s="8"/>
      <c r="L395" s="8"/>
      <c r="O395" s="8"/>
      <c r="P395" s="8"/>
    </row>
    <row r="396">
      <c r="F396" s="8"/>
      <c r="L396" s="8"/>
      <c r="O396" s="8"/>
      <c r="P396" s="8"/>
    </row>
    <row r="397">
      <c r="F397" s="8"/>
      <c r="L397" s="8"/>
      <c r="O397" s="8"/>
      <c r="P397" s="8"/>
    </row>
    <row r="398">
      <c r="F398" s="8"/>
      <c r="L398" s="8"/>
      <c r="O398" s="8"/>
      <c r="P398" s="8"/>
    </row>
    <row r="399">
      <c r="F399" s="8"/>
      <c r="L399" s="8"/>
      <c r="O399" s="8"/>
      <c r="P399" s="8"/>
    </row>
    <row r="400">
      <c r="F400" s="8"/>
      <c r="L400" s="8"/>
      <c r="O400" s="8"/>
      <c r="P400" s="8"/>
    </row>
    <row r="401">
      <c r="F401" s="8"/>
      <c r="L401" s="8"/>
      <c r="O401" s="8"/>
      <c r="P401" s="8"/>
    </row>
    <row r="402">
      <c r="F402" s="8"/>
      <c r="L402" s="8"/>
      <c r="O402" s="8"/>
      <c r="P402" s="8"/>
    </row>
    <row r="403">
      <c r="F403" s="8"/>
      <c r="L403" s="8"/>
      <c r="O403" s="8"/>
      <c r="P403" s="8"/>
    </row>
    <row r="404">
      <c r="F404" s="8"/>
      <c r="L404" s="8"/>
      <c r="O404" s="8"/>
      <c r="P404" s="8"/>
    </row>
    <row r="405">
      <c r="F405" s="8"/>
      <c r="L405" s="8"/>
      <c r="O405" s="8"/>
      <c r="P405" s="8"/>
    </row>
    <row r="406">
      <c r="F406" s="8"/>
      <c r="L406" s="8"/>
      <c r="O406" s="8"/>
      <c r="P406" s="8"/>
    </row>
    <row r="407">
      <c r="F407" s="8"/>
      <c r="L407" s="8"/>
      <c r="O407" s="8"/>
      <c r="P407" s="8"/>
    </row>
    <row r="408">
      <c r="F408" s="8"/>
      <c r="L408" s="8"/>
      <c r="O408" s="8"/>
      <c r="P408" s="8"/>
    </row>
    <row r="409">
      <c r="F409" s="8"/>
      <c r="L409" s="8"/>
      <c r="O409" s="8"/>
      <c r="P409" s="8"/>
    </row>
    <row r="410">
      <c r="F410" s="8"/>
      <c r="L410" s="8"/>
      <c r="O410" s="8"/>
      <c r="P410" s="8"/>
    </row>
    <row r="411">
      <c r="F411" s="8"/>
      <c r="L411" s="8"/>
      <c r="O411" s="8"/>
      <c r="P411" s="8"/>
    </row>
    <row r="412">
      <c r="F412" s="8"/>
      <c r="L412" s="8"/>
      <c r="O412" s="8"/>
      <c r="P412" s="8"/>
    </row>
    <row r="413">
      <c r="F413" s="8"/>
      <c r="L413" s="8"/>
      <c r="O413" s="8"/>
      <c r="P413" s="8"/>
    </row>
    <row r="414">
      <c r="F414" s="8"/>
      <c r="L414" s="8"/>
      <c r="O414" s="8"/>
      <c r="P414" s="8"/>
    </row>
    <row r="415">
      <c r="F415" s="8"/>
      <c r="L415" s="8"/>
      <c r="O415" s="8"/>
      <c r="P415" s="8"/>
    </row>
    <row r="416">
      <c r="F416" s="8"/>
      <c r="L416" s="8"/>
      <c r="O416" s="8"/>
      <c r="P416" s="8"/>
    </row>
    <row r="417">
      <c r="F417" s="8"/>
      <c r="L417" s="8"/>
      <c r="O417" s="8"/>
      <c r="P417" s="8"/>
    </row>
    <row r="418">
      <c r="F418" s="8"/>
      <c r="L418" s="8"/>
      <c r="O418" s="8"/>
      <c r="P418" s="8"/>
    </row>
    <row r="419">
      <c r="F419" s="8"/>
      <c r="L419" s="8"/>
      <c r="O419" s="8"/>
      <c r="P419" s="8"/>
    </row>
    <row r="420">
      <c r="F420" s="8"/>
      <c r="L420" s="8"/>
      <c r="O420" s="8"/>
      <c r="P420" s="8"/>
    </row>
    <row r="421">
      <c r="F421" s="8"/>
      <c r="L421" s="8"/>
      <c r="O421" s="8"/>
      <c r="P421" s="8"/>
    </row>
    <row r="422">
      <c r="F422" s="8"/>
      <c r="L422" s="8"/>
      <c r="O422" s="8"/>
      <c r="P422" s="8"/>
    </row>
    <row r="423">
      <c r="F423" s="8"/>
      <c r="L423" s="8"/>
      <c r="O423" s="8"/>
      <c r="P423" s="8"/>
    </row>
    <row r="424">
      <c r="F424" s="8"/>
      <c r="L424" s="8"/>
      <c r="O424" s="8"/>
      <c r="P424" s="8"/>
    </row>
    <row r="425">
      <c r="F425" s="8"/>
      <c r="L425" s="8"/>
      <c r="O425" s="8"/>
      <c r="P425" s="8"/>
    </row>
    <row r="426">
      <c r="F426" s="8"/>
      <c r="L426" s="8"/>
      <c r="O426" s="8"/>
      <c r="P426" s="8"/>
    </row>
    <row r="427">
      <c r="F427" s="8"/>
      <c r="L427" s="8"/>
      <c r="O427" s="8"/>
      <c r="P427" s="8"/>
    </row>
    <row r="428">
      <c r="F428" s="8"/>
      <c r="L428" s="8"/>
      <c r="O428" s="8"/>
      <c r="P428" s="8"/>
    </row>
    <row r="429">
      <c r="F429" s="8"/>
      <c r="L429" s="8"/>
      <c r="O429" s="8"/>
      <c r="P429" s="8"/>
    </row>
    <row r="430">
      <c r="F430" s="8"/>
      <c r="L430" s="8"/>
      <c r="O430" s="8"/>
      <c r="P430" s="8"/>
    </row>
    <row r="431">
      <c r="F431" s="8"/>
      <c r="L431" s="8"/>
      <c r="O431" s="8"/>
      <c r="P431" s="8"/>
    </row>
    <row r="432">
      <c r="F432" s="8"/>
      <c r="L432" s="8"/>
      <c r="O432" s="8"/>
      <c r="P432" s="8"/>
    </row>
    <row r="433">
      <c r="F433" s="8"/>
      <c r="L433" s="8"/>
      <c r="O433" s="8"/>
      <c r="P433" s="8"/>
    </row>
    <row r="434">
      <c r="F434" s="8"/>
      <c r="L434" s="8"/>
      <c r="O434" s="8"/>
      <c r="P434" s="8"/>
    </row>
    <row r="435">
      <c r="F435" s="8"/>
      <c r="L435" s="8"/>
      <c r="O435" s="8"/>
      <c r="P435" s="8"/>
    </row>
    <row r="436">
      <c r="F436" s="8"/>
      <c r="L436" s="8"/>
      <c r="O436" s="8"/>
      <c r="P436" s="8"/>
    </row>
    <row r="437">
      <c r="F437" s="8"/>
      <c r="L437" s="8"/>
      <c r="O437" s="8"/>
      <c r="P437" s="8"/>
    </row>
    <row r="438">
      <c r="F438" s="8"/>
      <c r="L438" s="8"/>
      <c r="O438" s="8"/>
      <c r="P438" s="8"/>
    </row>
    <row r="439">
      <c r="F439" s="8"/>
      <c r="L439" s="8"/>
      <c r="O439" s="8"/>
      <c r="P439" s="8"/>
    </row>
    <row r="440">
      <c r="F440" s="8"/>
      <c r="L440" s="8"/>
      <c r="O440" s="8"/>
      <c r="P440" s="8"/>
    </row>
    <row r="441">
      <c r="F441" s="8"/>
      <c r="L441" s="8"/>
      <c r="O441" s="8"/>
      <c r="P441" s="8"/>
    </row>
    <row r="442">
      <c r="F442" s="8"/>
      <c r="L442" s="8"/>
      <c r="O442" s="8"/>
      <c r="P442" s="8"/>
    </row>
    <row r="443">
      <c r="F443" s="8"/>
      <c r="L443" s="8"/>
      <c r="O443" s="8"/>
      <c r="P443" s="8"/>
    </row>
    <row r="444">
      <c r="F444" s="8"/>
      <c r="L444" s="8"/>
      <c r="O444" s="8"/>
      <c r="P444" s="8"/>
    </row>
    <row r="445">
      <c r="F445" s="8"/>
      <c r="L445" s="8"/>
      <c r="O445" s="8"/>
      <c r="P445" s="8"/>
    </row>
    <row r="446">
      <c r="F446" s="8"/>
      <c r="L446" s="8"/>
      <c r="O446" s="8"/>
      <c r="P446" s="8"/>
    </row>
    <row r="447">
      <c r="F447" s="8"/>
      <c r="L447" s="8"/>
      <c r="O447" s="8"/>
      <c r="P447" s="8"/>
    </row>
    <row r="448">
      <c r="F448" s="8"/>
      <c r="L448" s="8"/>
      <c r="O448" s="8"/>
      <c r="P448" s="8"/>
    </row>
    <row r="449">
      <c r="F449" s="8"/>
      <c r="L449" s="8"/>
      <c r="O449" s="8"/>
      <c r="P449" s="8"/>
    </row>
    <row r="450">
      <c r="F450" s="8"/>
      <c r="L450" s="8"/>
      <c r="O450" s="8"/>
      <c r="P450" s="8"/>
    </row>
    <row r="451">
      <c r="F451" s="8"/>
      <c r="L451" s="8"/>
      <c r="O451" s="8"/>
      <c r="P451" s="8"/>
    </row>
    <row r="452">
      <c r="F452" s="8"/>
      <c r="L452" s="8"/>
      <c r="O452" s="8"/>
      <c r="P452" s="8"/>
    </row>
    <row r="453">
      <c r="F453" s="8"/>
      <c r="L453" s="8"/>
      <c r="O453" s="8"/>
      <c r="P453" s="8"/>
    </row>
    <row r="454">
      <c r="F454" s="8"/>
      <c r="L454" s="8"/>
      <c r="O454" s="8"/>
      <c r="P454" s="8"/>
    </row>
    <row r="455">
      <c r="F455" s="8"/>
      <c r="L455" s="8"/>
      <c r="O455" s="8"/>
      <c r="P455" s="8"/>
    </row>
    <row r="456">
      <c r="F456" s="8"/>
      <c r="L456" s="8"/>
      <c r="O456" s="8"/>
      <c r="P456" s="8"/>
    </row>
    <row r="457">
      <c r="F457" s="8"/>
      <c r="L457" s="8"/>
      <c r="O457" s="8"/>
      <c r="P457" s="8"/>
    </row>
    <row r="458">
      <c r="F458" s="8"/>
      <c r="L458" s="8"/>
      <c r="O458" s="8"/>
      <c r="P458" s="8"/>
    </row>
    <row r="459">
      <c r="F459" s="8"/>
      <c r="L459" s="8"/>
      <c r="O459" s="8"/>
      <c r="P459" s="8"/>
    </row>
    <row r="460">
      <c r="F460" s="8"/>
      <c r="L460" s="8"/>
      <c r="O460" s="8"/>
      <c r="P460" s="8"/>
    </row>
    <row r="461">
      <c r="F461" s="8"/>
      <c r="L461" s="8"/>
      <c r="O461" s="8"/>
      <c r="P461" s="8"/>
    </row>
    <row r="462">
      <c r="F462" s="8"/>
      <c r="L462" s="8"/>
      <c r="O462" s="8"/>
      <c r="P462" s="8"/>
    </row>
    <row r="463">
      <c r="F463" s="8"/>
      <c r="L463" s="8"/>
      <c r="O463" s="8"/>
      <c r="P463" s="8"/>
    </row>
    <row r="464">
      <c r="F464" s="8"/>
      <c r="L464" s="8"/>
      <c r="O464" s="8"/>
      <c r="P464" s="8"/>
    </row>
    <row r="465">
      <c r="F465" s="8"/>
      <c r="L465" s="8"/>
      <c r="O465" s="8"/>
      <c r="P465" s="8"/>
    </row>
    <row r="466">
      <c r="F466" s="8"/>
      <c r="L466" s="8"/>
      <c r="O466" s="8"/>
      <c r="P466" s="8"/>
    </row>
    <row r="467">
      <c r="F467" s="8"/>
      <c r="L467" s="8"/>
      <c r="O467" s="8"/>
      <c r="P467" s="8"/>
    </row>
    <row r="468">
      <c r="F468" s="8"/>
      <c r="L468" s="8"/>
      <c r="O468" s="8"/>
      <c r="P468" s="8"/>
    </row>
    <row r="469">
      <c r="F469" s="8"/>
      <c r="L469" s="8"/>
      <c r="O469" s="8"/>
      <c r="P469" s="8"/>
    </row>
    <row r="470">
      <c r="F470" s="8"/>
      <c r="L470" s="8"/>
      <c r="O470" s="8"/>
      <c r="P470" s="8"/>
    </row>
    <row r="471">
      <c r="F471" s="8"/>
      <c r="L471" s="8"/>
      <c r="O471" s="8"/>
      <c r="P471" s="8"/>
    </row>
    <row r="472">
      <c r="F472" s="8"/>
      <c r="L472" s="8"/>
      <c r="O472" s="8"/>
      <c r="P472" s="8"/>
    </row>
    <row r="473">
      <c r="F473" s="8"/>
      <c r="L473" s="8"/>
      <c r="O473" s="8"/>
      <c r="P473" s="8"/>
    </row>
    <row r="474">
      <c r="F474" s="8"/>
      <c r="L474" s="8"/>
      <c r="O474" s="8"/>
      <c r="P474" s="8"/>
    </row>
    <row r="475">
      <c r="F475" s="8"/>
      <c r="L475" s="8"/>
      <c r="O475" s="8"/>
      <c r="P475" s="8"/>
    </row>
    <row r="476">
      <c r="F476" s="8"/>
      <c r="L476" s="8"/>
      <c r="O476" s="8"/>
      <c r="P476" s="8"/>
    </row>
    <row r="477">
      <c r="F477" s="8"/>
      <c r="L477" s="8"/>
      <c r="O477" s="8"/>
      <c r="P477" s="8"/>
    </row>
    <row r="478">
      <c r="F478" s="8"/>
      <c r="L478" s="8"/>
      <c r="O478" s="8"/>
      <c r="P478" s="8"/>
    </row>
    <row r="479">
      <c r="F479" s="8"/>
      <c r="L479" s="8"/>
      <c r="O479" s="8"/>
      <c r="P479" s="8"/>
    </row>
    <row r="480">
      <c r="F480" s="8"/>
      <c r="L480" s="8"/>
      <c r="O480" s="8"/>
      <c r="P480" s="8"/>
    </row>
    <row r="481">
      <c r="F481" s="8"/>
      <c r="L481" s="8"/>
      <c r="O481" s="8"/>
      <c r="P481" s="8"/>
    </row>
    <row r="482">
      <c r="F482" s="8"/>
      <c r="L482" s="8"/>
      <c r="O482" s="8"/>
      <c r="P482" s="8"/>
    </row>
    <row r="483">
      <c r="F483" s="8"/>
      <c r="L483" s="8"/>
      <c r="O483" s="8"/>
      <c r="P483" s="8"/>
    </row>
    <row r="484">
      <c r="F484" s="8"/>
      <c r="L484" s="8"/>
      <c r="O484" s="8"/>
      <c r="P484" s="8"/>
    </row>
    <row r="485">
      <c r="F485" s="8"/>
      <c r="L485" s="8"/>
      <c r="O485" s="8"/>
      <c r="P485" s="8"/>
    </row>
    <row r="486">
      <c r="F486" s="8"/>
      <c r="L486" s="8"/>
      <c r="O486" s="8"/>
      <c r="P486" s="8"/>
    </row>
    <row r="487">
      <c r="F487" s="8"/>
      <c r="L487" s="8"/>
      <c r="O487" s="8"/>
      <c r="P487" s="8"/>
    </row>
    <row r="488">
      <c r="F488" s="8"/>
      <c r="L488" s="8"/>
      <c r="O488" s="8"/>
      <c r="P488" s="8"/>
    </row>
    <row r="489">
      <c r="F489" s="8"/>
      <c r="L489" s="8"/>
      <c r="O489" s="8"/>
      <c r="P489" s="8"/>
    </row>
    <row r="490">
      <c r="F490" s="8"/>
      <c r="L490" s="8"/>
      <c r="O490" s="8"/>
      <c r="P490" s="8"/>
    </row>
    <row r="491">
      <c r="F491" s="8"/>
      <c r="L491" s="8"/>
      <c r="O491" s="8"/>
      <c r="P491" s="8"/>
    </row>
    <row r="492">
      <c r="F492" s="8"/>
      <c r="L492" s="8"/>
      <c r="O492" s="8"/>
      <c r="P492" s="8"/>
    </row>
    <row r="493">
      <c r="F493" s="8"/>
      <c r="L493" s="8"/>
      <c r="O493" s="8"/>
      <c r="P493" s="8"/>
    </row>
    <row r="494">
      <c r="F494" s="8"/>
      <c r="L494" s="8"/>
      <c r="O494" s="8"/>
      <c r="P494" s="8"/>
    </row>
    <row r="495">
      <c r="F495" s="8"/>
      <c r="L495" s="8"/>
      <c r="O495" s="8"/>
      <c r="P495" s="8"/>
    </row>
    <row r="496">
      <c r="F496" s="8"/>
      <c r="L496" s="8"/>
      <c r="O496" s="8"/>
      <c r="P496" s="8"/>
    </row>
    <row r="497">
      <c r="F497" s="8"/>
      <c r="L497" s="8"/>
      <c r="O497" s="8"/>
      <c r="P497" s="8"/>
    </row>
    <row r="498">
      <c r="F498" s="8"/>
      <c r="L498" s="8"/>
      <c r="O498" s="8"/>
      <c r="P498" s="8"/>
    </row>
    <row r="499">
      <c r="F499" s="8"/>
      <c r="L499" s="8"/>
      <c r="O499" s="8"/>
      <c r="P499" s="8"/>
    </row>
    <row r="500">
      <c r="F500" s="8"/>
      <c r="L500" s="8"/>
      <c r="O500" s="8"/>
      <c r="P500" s="8"/>
    </row>
    <row r="501">
      <c r="F501" s="8"/>
      <c r="L501" s="8"/>
      <c r="O501" s="8"/>
      <c r="P501" s="8"/>
    </row>
    <row r="502">
      <c r="F502" s="8"/>
      <c r="L502" s="8"/>
      <c r="O502" s="8"/>
      <c r="P502" s="8"/>
    </row>
    <row r="503">
      <c r="F503" s="8"/>
      <c r="L503" s="8"/>
      <c r="O503" s="8"/>
      <c r="P503" s="8"/>
    </row>
    <row r="504">
      <c r="F504" s="8"/>
      <c r="L504" s="8"/>
      <c r="O504" s="8"/>
      <c r="P504" s="8"/>
    </row>
    <row r="505">
      <c r="F505" s="8"/>
      <c r="L505" s="8"/>
      <c r="O505" s="8"/>
      <c r="P505" s="8"/>
    </row>
    <row r="506">
      <c r="F506" s="8"/>
      <c r="L506" s="8"/>
      <c r="O506" s="8"/>
      <c r="P506" s="8"/>
    </row>
    <row r="507">
      <c r="F507" s="8"/>
      <c r="L507" s="8"/>
      <c r="O507" s="8"/>
      <c r="P507" s="8"/>
    </row>
    <row r="508">
      <c r="F508" s="8"/>
      <c r="L508" s="8"/>
      <c r="O508" s="8"/>
      <c r="P508" s="8"/>
    </row>
    <row r="509">
      <c r="F509" s="8"/>
      <c r="L509" s="8"/>
      <c r="O509" s="8"/>
      <c r="P509" s="8"/>
    </row>
    <row r="510">
      <c r="F510" s="8"/>
      <c r="L510" s="8"/>
      <c r="O510" s="8"/>
      <c r="P510" s="8"/>
    </row>
    <row r="511">
      <c r="F511" s="8"/>
      <c r="L511" s="8"/>
      <c r="O511" s="8"/>
      <c r="P511" s="8"/>
    </row>
    <row r="512">
      <c r="F512" s="8"/>
      <c r="L512" s="8"/>
      <c r="O512" s="8"/>
      <c r="P512" s="8"/>
    </row>
    <row r="513">
      <c r="F513" s="8"/>
      <c r="L513" s="8"/>
      <c r="O513" s="8"/>
      <c r="P513" s="8"/>
    </row>
    <row r="514">
      <c r="F514" s="8"/>
      <c r="L514" s="8"/>
      <c r="O514" s="8"/>
      <c r="P514" s="8"/>
    </row>
    <row r="515">
      <c r="F515" s="8"/>
      <c r="L515" s="8"/>
      <c r="O515" s="8"/>
      <c r="P515" s="8"/>
    </row>
    <row r="516">
      <c r="F516" s="8"/>
      <c r="L516" s="8"/>
      <c r="O516" s="8"/>
      <c r="P516" s="8"/>
    </row>
    <row r="517">
      <c r="F517" s="8"/>
      <c r="L517" s="8"/>
      <c r="O517" s="8"/>
      <c r="P517" s="8"/>
    </row>
    <row r="518">
      <c r="F518" s="8"/>
      <c r="L518" s="8"/>
      <c r="O518" s="8"/>
      <c r="P518" s="8"/>
    </row>
    <row r="519">
      <c r="F519" s="8"/>
      <c r="L519" s="8"/>
      <c r="O519" s="8"/>
      <c r="P519" s="8"/>
    </row>
    <row r="520">
      <c r="F520" s="8"/>
      <c r="L520" s="8"/>
      <c r="O520" s="8"/>
      <c r="P520" s="8"/>
    </row>
    <row r="521">
      <c r="F521" s="8"/>
      <c r="L521" s="8"/>
      <c r="O521" s="8"/>
      <c r="P521" s="8"/>
    </row>
    <row r="522">
      <c r="F522" s="8"/>
      <c r="L522" s="8"/>
      <c r="O522" s="8"/>
      <c r="P522" s="8"/>
    </row>
    <row r="523">
      <c r="F523" s="8"/>
      <c r="L523" s="8"/>
      <c r="O523" s="8"/>
      <c r="P523" s="8"/>
    </row>
    <row r="524">
      <c r="F524" s="8"/>
      <c r="L524" s="8"/>
      <c r="O524" s="8"/>
      <c r="P524" s="8"/>
    </row>
    <row r="525">
      <c r="F525" s="8"/>
      <c r="L525" s="8"/>
      <c r="O525" s="8"/>
      <c r="P525" s="8"/>
    </row>
    <row r="526">
      <c r="F526" s="8"/>
      <c r="L526" s="8"/>
      <c r="O526" s="8"/>
      <c r="P526" s="8"/>
    </row>
    <row r="527">
      <c r="F527" s="8"/>
      <c r="L527" s="8"/>
      <c r="O527" s="8"/>
      <c r="P527" s="8"/>
    </row>
    <row r="528">
      <c r="F528" s="8"/>
      <c r="L528" s="8"/>
      <c r="O528" s="8"/>
      <c r="P528" s="8"/>
    </row>
    <row r="529">
      <c r="F529" s="8"/>
      <c r="L529" s="8"/>
      <c r="O529" s="8"/>
      <c r="P529" s="8"/>
    </row>
    <row r="530">
      <c r="F530" s="8"/>
      <c r="L530" s="8"/>
      <c r="O530" s="8"/>
      <c r="P530" s="8"/>
    </row>
    <row r="531">
      <c r="F531" s="8"/>
      <c r="L531" s="8"/>
      <c r="O531" s="8"/>
      <c r="P531" s="8"/>
    </row>
    <row r="532">
      <c r="F532" s="8"/>
      <c r="L532" s="8"/>
      <c r="O532" s="8"/>
      <c r="P532" s="8"/>
    </row>
    <row r="533">
      <c r="F533" s="8"/>
      <c r="L533" s="8"/>
      <c r="O533" s="8"/>
      <c r="P533" s="8"/>
    </row>
    <row r="534">
      <c r="F534" s="8"/>
      <c r="L534" s="8"/>
      <c r="O534" s="8"/>
      <c r="P534" s="8"/>
    </row>
    <row r="535">
      <c r="F535" s="8"/>
      <c r="L535" s="8"/>
      <c r="O535" s="8"/>
      <c r="P535" s="8"/>
    </row>
    <row r="536">
      <c r="F536" s="8"/>
      <c r="L536" s="8"/>
      <c r="O536" s="8"/>
      <c r="P536" s="8"/>
    </row>
    <row r="537">
      <c r="F537" s="8"/>
      <c r="L537" s="8"/>
      <c r="O537" s="8"/>
      <c r="P537" s="8"/>
    </row>
    <row r="538">
      <c r="F538" s="8"/>
      <c r="L538" s="8"/>
      <c r="O538" s="8"/>
      <c r="P538" s="8"/>
    </row>
    <row r="539">
      <c r="F539" s="8"/>
      <c r="L539" s="8"/>
      <c r="O539" s="8"/>
      <c r="P539" s="8"/>
    </row>
    <row r="540">
      <c r="F540" s="8"/>
      <c r="L540" s="8"/>
      <c r="O540" s="8"/>
      <c r="P540" s="8"/>
    </row>
    <row r="541">
      <c r="F541" s="8"/>
      <c r="L541" s="8"/>
      <c r="O541" s="8"/>
      <c r="P541" s="8"/>
    </row>
    <row r="542">
      <c r="F542" s="8"/>
      <c r="L542" s="8"/>
      <c r="O542" s="8"/>
      <c r="P542" s="8"/>
    </row>
    <row r="543">
      <c r="F543" s="8"/>
      <c r="L543" s="8"/>
      <c r="O543" s="8"/>
      <c r="P543" s="8"/>
    </row>
    <row r="544">
      <c r="F544" s="8"/>
      <c r="L544" s="8"/>
      <c r="O544" s="8"/>
      <c r="P544" s="8"/>
    </row>
    <row r="545">
      <c r="F545" s="8"/>
      <c r="L545" s="8"/>
      <c r="O545" s="8"/>
      <c r="P545" s="8"/>
    </row>
    <row r="546">
      <c r="F546" s="8"/>
      <c r="L546" s="8"/>
      <c r="O546" s="8"/>
      <c r="P546" s="8"/>
    </row>
    <row r="547">
      <c r="F547" s="8"/>
      <c r="L547" s="8"/>
      <c r="O547" s="8"/>
      <c r="P547" s="8"/>
    </row>
    <row r="548">
      <c r="F548" s="8"/>
      <c r="L548" s="8"/>
      <c r="O548" s="8"/>
      <c r="P548" s="8"/>
    </row>
    <row r="549">
      <c r="F549" s="8"/>
      <c r="L549" s="8"/>
      <c r="O549" s="8"/>
      <c r="P549" s="8"/>
    </row>
    <row r="550">
      <c r="F550" s="8"/>
      <c r="L550" s="8"/>
      <c r="O550" s="8"/>
      <c r="P550" s="8"/>
    </row>
    <row r="551">
      <c r="F551" s="8"/>
      <c r="L551" s="8"/>
      <c r="O551" s="8"/>
      <c r="P551" s="8"/>
    </row>
    <row r="552">
      <c r="F552" s="8"/>
      <c r="L552" s="8"/>
      <c r="O552" s="8"/>
      <c r="P552" s="8"/>
    </row>
    <row r="553">
      <c r="F553" s="8"/>
      <c r="L553" s="8"/>
      <c r="O553" s="8"/>
      <c r="P553" s="8"/>
    </row>
    <row r="554">
      <c r="F554" s="8"/>
      <c r="L554" s="8"/>
      <c r="O554" s="8"/>
      <c r="P554" s="8"/>
    </row>
    <row r="555">
      <c r="F555" s="8"/>
      <c r="L555" s="8"/>
      <c r="O555" s="8"/>
      <c r="P555" s="8"/>
    </row>
    <row r="556">
      <c r="F556" s="8"/>
      <c r="L556" s="8"/>
      <c r="O556" s="8"/>
      <c r="P556" s="8"/>
    </row>
    <row r="557">
      <c r="F557" s="8"/>
      <c r="L557" s="8"/>
      <c r="O557" s="8"/>
      <c r="P557" s="8"/>
    </row>
    <row r="558">
      <c r="F558" s="8"/>
      <c r="L558" s="8"/>
      <c r="O558" s="8"/>
      <c r="P558" s="8"/>
    </row>
    <row r="559">
      <c r="F559" s="8"/>
      <c r="L559" s="8"/>
      <c r="O559" s="8"/>
      <c r="P559" s="8"/>
    </row>
    <row r="560">
      <c r="F560" s="8"/>
      <c r="L560" s="8"/>
      <c r="O560" s="8"/>
      <c r="P560" s="8"/>
    </row>
    <row r="561">
      <c r="F561" s="8"/>
      <c r="L561" s="8"/>
      <c r="O561" s="8"/>
      <c r="P561" s="8"/>
    </row>
    <row r="562">
      <c r="F562" s="8"/>
      <c r="L562" s="8"/>
      <c r="O562" s="8"/>
      <c r="P562" s="8"/>
    </row>
    <row r="563">
      <c r="F563" s="8"/>
      <c r="L563" s="8"/>
      <c r="O563" s="8"/>
      <c r="P563" s="8"/>
    </row>
    <row r="564">
      <c r="F564" s="8"/>
      <c r="L564" s="8"/>
      <c r="O564" s="8"/>
      <c r="P564" s="8"/>
    </row>
    <row r="565">
      <c r="F565" s="8"/>
      <c r="L565" s="8"/>
      <c r="O565" s="8"/>
      <c r="P565" s="8"/>
    </row>
    <row r="566">
      <c r="F566" s="8"/>
      <c r="L566" s="8"/>
      <c r="O566" s="8"/>
      <c r="P566" s="8"/>
    </row>
    <row r="567">
      <c r="F567" s="8"/>
      <c r="L567" s="8"/>
      <c r="O567" s="8"/>
      <c r="P567" s="8"/>
    </row>
    <row r="568">
      <c r="F568" s="8"/>
      <c r="L568" s="8"/>
      <c r="O568" s="8"/>
      <c r="P568" s="8"/>
    </row>
    <row r="569">
      <c r="F569" s="8"/>
      <c r="L569" s="8"/>
      <c r="O569" s="8"/>
      <c r="P569" s="8"/>
    </row>
    <row r="570">
      <c r="F570" s="8"/>
      <c r="L570" s="8"/>
      <c r="O570" s="8"/>
      <c r="P570" s="8"/>
    </row>
    <row r="571">
      <c r="F571" s="8"/>
      <c r="L571" s="8"/>
      <c r="O571" s="8"/>
      <c r="P571" s="8"/>
    </row>
    <row r="572">
      <c r="F572" s="8"/>
      <c r="L572" s="8"/>
      <c r="O572" s="8"/>
      <c r="P572" s="8"/>
    </row>
    <row r="573">
      <c r="F573" s="8"/>
      <c r="L573" s="8"/>
      <c r="O573" s="8"/>
      <c r="P573" s="8"/>
    </row>
    <row r="574">
      <c r="F574" s="8"/>
      <c r="L574" s="8"/>
      <c r="O574" s="8"/>
      <c r="P574" s="8"/>
    </row>
    <row r="575">
      <c r="F575" s="8"/>
      <c r="L575" s="8"/>
      <c r="O575" s="8"/>
      <c r="P575" s="8"/>
    </row>
    <row r="576">
      <c r="F576" s="8"/>
      <c r="L576" s="8"/>
      <c r="O576" s="8"/>
      <c r="P576" s="8"/>
    </row>
    <row r="577">
      <c r="F577" s="8"/>
      <c r="L577" s="8"/>
      <c r="O577" s="8"/>
      <c r="P577" s="8"/>
    </row>
    <row r="578">
      <c r="F578" s="8"/>
      <c r="L578" s="8"/>
      <c r="O578" s="8"/>
      <c r="P578" s="8"/>
    </row>
    <row r="579">
      <c r="F579" s="8"/>
      <c r="L579" s="8"/>
      <c r="O579" s="8"/>
      <c r="P579" s="8"/>
    </row>
    <row r="580">
      <c r="F580" s="8"/>
      <c r="L580" s="8"/>
      <c r="O580" s="8"/>
      <c r="P580" s="8"/>
    </row>
    <row r="581">
      <c r="F581" s="8"/>
      <c r="L581" s="8"/>
      <c r="O581" s="8"/>
      <c r="P581" s="8"/>
    </row>
    <row r="582">
      <c r="F582" s="8"/>
      <c r="L582" s="8"/>
      <c r="O582" s="8"/>
      <c r="P582" s="8"/>
    </row>
    <row r="583">
      <c r="F583" s="8"/>
      <c r="L583" s="8"/>
      <c r="O583" s="8"/>
      <c r="P583" s="8"/>
    </row>
    <row r="584">
      <c r="F584" s="8"/>
      <c r="L584" s="8"/>
      <c r="O584" s="8"/>
      <c r="P584" s="8"/>
    </row>
    <row r="585">
      <c r="F585" s="8"/>
      <c r="L585" s="8"/>
      <c r="O585" s="8"/>
      <c r="P585" s="8"/>
    </row>
    <row r="586">
      <c r="F586" s="8"/>
      <c r="L586" s="8"/>
      <c r="O586" s="8"/>
      <c r="P586" s="8"/>
    </row>
    <row r="587">
      <c r="F587" s="8"/>
      <c r="L587" s="8"/>
      <c r="O587" s="8"/>
      <c r="P587" s="8"/>
    </row>
    <row r="588">
      <c r="F588" s="8"/>
      <c r="L588" s="8"/>
      <c r="O588" s="8"/>
      <c r="P588" s="8"/>
    </row>
    <row r="589">
      <c r="F589" s="8"/>
      <c r="L589" s="8"/>
      <c r="O589" s="8"/>
      <c r="P589" s="8"/>
    </row>
    <row r="590">
      <c r="F590" s="8"/>
      <c r="L590" s="8"/>
      <c r="O590" s="8"/>
      <c r="P590" s="8"/>
    </row>
    <row r="591">
      <c r="F591" s="8"/>
      <c r="L591" s="8"/>
      <c r="O591" s="8"/>
      <c r="P591" s="8"/>
    </row>
    <row r="592">
      <c r="F592" s="8"/>
      <c r="L592" s="8"/>
      <c r="O592" s="8"/>
      <c r="P592" s="8"/>
    </row>
    <row r="593">
      <c r="F593" s="8"/>
      <c r="L593" s="8"/>
      <c r="O593" s="8"/>
      <c r="P593" s="8"/>
    </row>
    <row r="594">
      <c r="F594" s="8"/>
      <c r="L594" s="8"/>
      <c r="O594" s="8"/>
      <c r="P594" s="8"/>
    </row>
    <row r="595">
      <c r="F595" s="8"/>
      <c r="L595" s="8"/>
      <c r="O595" s="8"/>
      <c r="P595" s="8"/>
    </row>
    <row r="596">
      <c r="F596" s="8"/>
      <c r="L596" s="8"/>
      <c r="O596" s="8"/>
      <c r="P596" s="8"/>
    </row>
    <row r="597">
      <c r="F597" s="8"/>
      <c r="L597" s="8"/>
      <c r="O597" s="8"/>
      <c r="P597" s="8"/>
    </row>
    <row r="598">
      <c r="F598" s="8"/>
      <c r="L598" s="8"/>
      <c r="O598" s="8"/>
      <c r="P598" s="8"/>
    </row>
    <row r="599">
      <c r="F599" s="8"/>
      <c r="L599" s="8"/>
      <c r="O599" s="8"/>
      <c r="P599" s="8"/>
    </row>
    <row r="600">
      <c r="F600" s="8"/>
      <c r="L600" s="8"/>
      <c r="O600" s="8"/>
      <c r="P600" s="8"/>
    </row>
    <row r="601">
      <c r="F601" s="8"/>
      <c r="L601" s="8"/>
      <c r="O601" s="8"/>
      <c r="P601" s="8"/>
    </row>
    <row r="602">
      <c r="F602" s="8"/>
      <c r="L602" s="8"/>
      <c r="O602" s="8"/>
      <c r="P602" s="8"/>
    </row>
    <row r="603">
      <c r="F603" s="8"/>
      <c r="L603" s="8"/>
      <c r="O603" s="8"/>
      <c r="P603" s="8"/>
    </row>
    <row r="604">
      <c r="F604" s="8"/>
      <c r="L604" s="8"/>
      <c r="O604" s="8"/>
      <c r="P604" s="8"/>
    </row>
    <row r="605">
      <c r="F605" s="8"/>
      <c r="L605" s="8"/>
      <c r="O605" s="8"/>
      <c r="P605" s="8"/>
    </row>
    <row r="606">
      <c r="F606" s="8"/>
      <c r="L606" s="8"/>
      <c r="O606" s="8"/>
      <c r="P606" s="8"/>
    </row>
    <row r="607">
      <c r="F607" s="8"/>
      <c r="L607" s="8"/>
      <c r="O607" s="8"/>
      <c r="P607" s="8"/>
    </row>
    <row r="608">
      <c r="F608" s="8"/>
      <c r="L608" s="8"/>
      <c r="O608" s="8"/>
      <c r="P608" s="8"/>
    </row>
    <row r="609">
      <c r="F609" s="8"/>
      <c r="L609" s="8"/>
      <c r="O609" s="8"/>
      <c r="P609" s="8"/>
    </row>
    <row r="610">
      <c r="F610" s="8"/>
      <c r="L610" s="8"/>
      <c r="O610" s="8"/>
      <c r="P610" s="8"/>
    </row>
    <row r="611">
      <c r="F611" s="8"/>
      <c r="L611" s="8"/>
      <c r="O611" s="8"/>
      <c r="P611" s="8"/>
    </row>
    <row r="612">
      <c r="F612" s="8"/>
      <c r="L612" s="8"/>
      <c r="O612" s="8"/>
      <c r="P612" s="8"/>
    </row>
    <row r="613">
      <c r="F613" s="8"/>
      <c r="L613" s="8"/>
      <c r="O613" s="8"/>
      <c r="P613" s="8"/>
    </row>
    <row r="614">
      <c r="F614" s="8"/>
      <c r="L614" s="8"/>
      <c r="O614" s="8"/>
      <c r="P614" s="8"/>
    </row>
    <row r="615">
      <c r="F615" s="8"/>
      <c r="L615" s="8"/>
      <c r="O615" s="8"/>
      <c r="P615" s="8"/>
    </row>
    <row r="616">
      <c r="F616" s="8"/>
      <c r="L616" s="8"/>
      <c r="O616" s="8"/>
      <c r="P616" s="8"/>
    </row>
    <row r="617">
      <c r="F617" s="8"/>
      <c r="L617" s="8"/>
      <c r="O617" s="8"/>
      <c r="P617" s="8"/>
    </row>
    <row r="618">
      <c r="F618" s="8"/>
      <c r="L618" s="8"/>
      <c r="O618" s="8"/>
      <c r="P618" s="8"/>
    </row>
    <row r="619">
      <c r="F619" s="8"/>
      <c r="L619" s="8"/>
      <c r="O619" s="8"/>
      <c r="P619" s="8"/>
    </row>
    <row r="620">
      <c r="F620" s="8"/>
      <c r="L620" s="8"/>
      <c r="O620" s="8"/>
      <c r="P620" s="8"/>
    </row>
    <row r="621">
      <c r="F621" s="8"/>
      <c r="L621" s="8"/>
      <c r="O621" s="8"/>
      <c r="P621" s="8"/>
    </row>
    <row r="622">
      <c r="F622" s="8"/>
      <c r="L622" s="8"/>
      <c r="O622" s="8"/>
      <c r="P622" s="8"/>
    </row>
    <row r="623">
      <c r="F623" s="8"/>
      <c r="L623" s="8"/>
      <c r="O623" s="8"/>
      <c r="P623" s="8"/>
    </row>
    <row r="624">
      <c r="F624" s="8"/>
      <c r="L624" s="8"/>
      <c r="O624" s="8"/>
      <c r="P624" s="8"/>
    </row>
    <row r="625">
      <c r="F625" s="8"/>
      <c r="L625" s="8"/>
      <c r="O625" s="8"/>
      <c r="P625" s="8"/>
    </row>
    <row r="626">
      <c r="F626" s="8"/>
      <c r="L626" s="8"/>
      <c r="O626" s="8"/>
      <c r="P626" s="8"/>
    </row>
    <row r="627">
      <c r="F627" s="8"/>
      <c r="L627" s="8"/>
      <c r="O627" s="8"/>
      <c r="P627" s="8"/>
    </row>
    <row r="628">
      <c r="F628" s="8"/>
      <c r="L628" s="8"/>
      <c r="O628" s="8"/>
      <c r="P628" s="8"/>
    </row>
    <row r="629">
      <c r="F629" s="8"/>
      <c r="L629" s="8"/>
      <c r="O629" s="8"/>
      <c r="P629" s="8"/>
    </row>
    <row r="630">
      <c r="F630" s="8"/>
      <c r="L630" s="8"/>
      <c r="O630" s="8"/>
      <c r="P630" s="8"/>
    </row>
    <row r="631">
      <c r="F631" s="8"/>
      <c r="L631" s="8"/>
      <c r="O631" s="8"/>
      <c r="P631" s="8"/>
    </row>
    <row r="632">
      <c r="F632" s="8"/>
      <c r="L632" s="8"/>
      <c r="O632" s="8"/>
      <c r="P632" s="8"/>
    </row>
    <row r="633">
      <c r="F633" s="8"/>
      <c r="L633" s="8"/>
      <c r="O633" s="8"/>
      <c r="P633" s="8"/>
    </row>
    <row r="634">
      <c r="F634" s="8"/>
      <c r="L634" s="8"/>
      <c r="O634" s="8"/>
      <c r="P634" s="8"/>
    </row>
    <row r="635">
      <c r="F635" s="8"/>
      <c r="L635" s="8"/>
      <c r="O635" s="8"/>
      <c r="P635" s="8"/>
    </row>
    <row r="636">
      <c r="F636" s="8"/>
      <c r="L636" s="8"/>
      <c r="O636" s="8"/>
      <c r="P636" s="8"/>
    </row>
    <row r="637">
      <c r="F637" s="8"/>
      <c r="L637" s="8"/>
      <c r="O637" s="8"/>
      <c r="P637" s="8"/>
    </row>
    <row r="638">
      <c r="F638" s="8"/>
      <c r="L638" s="8"/>
      <c r="O638" s="8"/>
      <c r="P638" s="8"/>
    </row>
    <row r="639">
      <c r="F639" s="8"/>
      <c r="L639" s="8"/>
      <c r="O639" s="8"/>
      <c r="P639" s="8"/>
    </row>
    <row r="640">
      <c r="F640" s="8"/>
      <c r="L640" s="8"/>
      <c r="O640" s="8"/>
      <c r="P640" s="8"/>
    </row>
    <row r="641">
      <c r="F641" s="8"/>
      <c r="L641" s="8"/>
      <c r="O641" s="8"/>
      <c r="P641" s="8"/>
    </row>
    <row r="642">
      <c r="F642" s="8"/>
      <c r="L642" s="8"/>
      <c r="O642" s="8"/>
      <c r="P642" s="8"/>
    </row>
    <row r="643">
      <c r="F643" s="8"/>
      <c r="L643" s="8"/>
      <c r="O643" s="8"/>
      <c r="P643" s="8"/>
    </row>
    <row r="644">
      <c r="F644" s="8"/>
      <c r="L644" s="8"/>
      <c r="O644" s="8"/>
      <c r="P644" s="8"/>
    </row>
    <row r="645">
      <c r="F645" s="8"/>
      <c r="L645" s="8"/>
      <c r="O645" s="8"/>
      <c r="P645" s="8"/>
    </row>
    <row r="646">
      <c r="F646" s="8"/>
      <c r="L646" s="8"/>
      <c r="O646" s="8"/>
      <c r="P646" s="8"/>
    </row>
    <row r="647">
      <c r="F647" s="8"/>
      <c r="L647" s="8"/>
      <c r="O647" s="8"/>
      <c r="P647" s="8"/>
    </row>
    <row r="648">
      <c r="F648" s="8"/>
      <c r="L648" s="8"/>
      <c r="O648" s="8"/>
      <c r="P648" s="8"/>
    </row>
    <row r="649">
      <c r="F649" s="8"/>
      <c r="L649" s="8"/>
      <c r="O649" s="8"/>
      <c r="P649" s="8"/>
    </row>
    <row r="650">
      <c r="F650" s="8"/>
      <c r="L650" s="8"/>
      <c r="O650" s="8"/>
      <c r="P650" s="8"/>
    </row>
    <row r="651">
      <c r="F651" s="8"/>
      <c r="L651" s="8"/>
      <c r="O651" s="8"/>
      <c r="P651" s="8"/>
    </row>
    <row r="652">
      <c r="F652" s="8"/>
      <c r="L652" s="8"/>
      <c r="O652" s="8"/>
      <c r="P652" s="8"/>
    </row>
    <row r="653">
      <c r="F653" s="8"/>
      <c r="L653" s="8"/>
      <c r="O653" s="8"/>
      <c r="P653" s="8"/>
    </row>
    <row r="654">
      <c r="F654" s="8"/>
      <c r="L654" s="8"/>
      <c r="O654" s="8"/>
      <c r="P654" s="8"/>
    </row>
    <row r="655">
      <c r="F655" s="8"/>
      <c r="L655" s="8"/>
      <c r="O655" s="8"/>
      <c r="P655" s="8"/>
    </row>
    <row r="656">
      <c r="F656" s="8"/>
      <c r="L656" s="8"/>
      <c r="O656" s="8"/>
      <c r="P656" s="8"/>
    </row>
    <row r="657">
      <c r="F657" s="8"/>
      <c r="L657" s="8"/>
      <c r="O657" s="8"/>
      <c r="P657" s="8"/>
    </row>
    <row r="658">
      <c r="F658" s="8"/>
      <c r="L658" s="8"/>
      <c r="O658" s="8"/>
      <c r="P658" s="8"/>
    </row>
    <row r="659">
      <c r="F659" s="8"/>
      <c r="L659" s="8"/>
      <c r="O659" s="8"/>
      <c r="P659" s="8"/>
    </row>
    <row r="660">
      <c r="F660" s="8"/>
      <c r="L660" s="8"/>
      <c r="O660" s="8"/>
      <c r="P660" s="8"/>
    </row>
    <row r="661">
      <c r="F661" s="8"/>
      <c r="L661" s="8"/>
      <c r="O661" s="8"/>
      <c r="P661" s="8"/>
    </row>
    <row r="662">
      <c r="F662" s="8"/>
      <c r="L662" s="8"/>
      <c r="O662" s="8"/>
      <c r="P662" s="8"/>
    </row>
    <row r="663">
      <c r="F663" s="8"/>
      <c r="L663" s="8"/>
      <c r="O663" s="8"/>
      <c r="P663" s="8"/>
    </row>
    <row r="664">
      <c r="F664" s="8"/>
      <c r="L664" s="8"/>
      <c r="O664" s="8"/>
      <c r="P664" s="8"/>
    </row>
    <row r="665">
      <c r="F665" s="8"/>
      <c r="L665" s="8"/>
      <c r="O665" s="8"/>
      <c r="P665" s="8"/>
    </row>
    <row r="666">
      <c r="F666" s="8"/>
      <c r="L666" s="8"/>
      <c r="O666" s="8"/>
      <c r="P666" s="8"/>
    </row>
    <row r="667">
      <c r="F667" s="8"/>
      <c r="L667" s="8"/>
      <c r="O667" s="8"/>
      <c r="P667" s="8"/>
    </row>
    <row r="668">
      <c r="F668" s="8"/>
      <c r="L668" s="8"/>
      <c r="O668" s="8"/>
      <c r="P668" s="8"/>
    </row>
    <row r="669">
      <c r="F669" s="8"/>
      <c r="L669" s="8"/>
      <c r="O669" s="8"/>
      <c r="P669" s="8"/>
    </row>
    <row r="670">
      <c r="F670" s="8"/>
      <c r="L670" s="8"/>
      <c r="O670" s="8"/>
      <c r="P670" s="8"/>
    </row>
    <row r="671">
      <c r="F671" s="8"/>
      <c r="L671" s="8"/>
      <c r="O671" s="8"/>
      <c r="P671" s="8"/>
    </row>
    <row r="672">
      <c r="F672" s="8"/>
      <c r="L672" s="8"/>
      <c r="O672" s="8"/>
      <c r="P672" s="8"/>
    </row>
    <row r="673">
      <c r="F673" s="8"/>
      <c r="L673" s="8"/>
      <c r="O673" s="8"/>
      <c r="P673" s="8"/>
    </row>
    <row r="674">
      <c r="F674" s="8"/>
      <c r="L674" s="8"/>
      <c r="O674" s="8"/>
      <c r="P674" s="8"/>
    </row>
    <row r="675">
      <c r="F675" s="8"/>
      <c r="L675" s="8"/>
      <c r="O675" s="8"/>
      <c r="P675" s="8"/>
    </row>
    <row r="676">
      <c r="F676" s="8"/>
      <c r="L676" s="8"/>
      <c r="O676" s="8"/>
      <c r="P676" s="8"/>
    </row>
    <row r="677">
      <c r="F677" s="8"/>
      <c r="L677" s="8"/>
      <c r="O677" s="8"/>
      <c r="P677" s="8"/>
    </row>
    <row r="678">
      <c r="F678" s="8"/>
      <c r="L678" s="8"/>
      <c r="O678" s="8"/>
      <c r="P678" s="8"/>
    </row>
    <row r="679">
      <c r="F679" s="8"/>
      <c r="L679" s="8"/>
      <c r="O679" s="8"/>
      <c r="P679" s="8"/>
    </row>
    <row r="680">
      <c r="F680" s="8"/>
      <c r="L680" s="8"/>
      <c r="O680" s="8"/>
      <c r="P680" s="8"/>
    </row>
    <row r="681">
      <c r="F681" s="8"/>
      <c r="L681" s="8"/>
      <c r="O681" s="8"/>
      <c r="P681" s="8"/>
    </row>
    <row r="682">
      <c r="F682" s="8"/>
      <c r="L682" s="8"/>
      <c r="O682" s="8"/>
      <c r="P682" s="8"/>
    </row>
    <row r="683">
      <c r="F683" s="8"/>
      <c r="L683" s="8"/>
      <c r="O683" s="8"/>
      <c r="P683" s="8"/>
    </row>
    <row r="684">
      <c r="F684" s="8"/>
      <c r="L684" s="8"/>
      <c r="O684" s="8"/>
      <c r="P684" s="8"/>
    </row>
    <row r="685">
      <c r="F685" s="8"/>
      <c r="L685" s="8"/>
      <c r="O685" s="8"/>
      <c r="P685" s="8"/>
    </row>
    <row r="686">
      <c r="F686" s="8"/>
      <c r="L686" s="8"/>
      <c r="O686" s="8"/>
      <c r="P686" s="8"/>
    </row>
    <row r="687">
      <c r="F687" s="8"/>
      <c r="L687" s="8"/>
      <c r="O687" s="8"/>
      <c r="P687" s="8"/>
    </row>
    <row r="688">
      <c r="F688" s="8"/>
      <c r="L688" s="8"/>
      <c r="O688" s="8"/>
      <c r="P688" s="8"/>
    </row>
    <row r="689">
      <c r="F689" s="8"/>
      <c r="L689" s="8"/>
      <c r="O689" s="8"/>
      <c r="P689" s="8"/>
    </row>
    <row r="690">
      <c r="F690" s="8"/>
      <c r="L690" s="8"/>
      <c r="O690" s="8"/>
      <c r="P690" s="8"/>
    </row>
    <row r="691">
      <c r="F691" s="8"/>
      <c r="L691" s="8"/>
      <c r="O691" s="8"/>
      <c r="P691" s="8"/>
    </row>
    <row r="692">
      <c r="F692" s="8"/>
      <c r="L692" s="8"/>
      <c r="O692" s="8"/>
      <c r="P692" s="8"/>
    </row>
    <row r="693">
      <c r="F693" s="8"/>
      <c r="L693" s="8"/>
      <c r="O693" s="8"/>
      <c r="P693" s="8"/>
    </row>
    <row r="694">
      <c r="F694" s="8"/>
      <c r="L694" s="8"/>
      <c r="O694" s="8"/>
      <c r="P694" s="8"/>
    </row>
    <row r="695">
      <c r="F695" s="8"/>
      <c r="L695" s="8"/>
      <c r="O695" s="8"/>
      <c r="P695" s="8"/>
    </row>
    <row r="696">
      <c r="F696" s="8"/>
      <c r="L696" s="8"/>
      <c r="O696" s="8"/>
      <c r="P696" s="8"/>
    </row>
    <row r="697">
      <c r="F697" s="8"/>
      <c r="L697" s="8"/>
      <c r="O697" s="8"/>
      <c r="P697" s="8"/>
    </row>
    <row r="698">
      <c r="F698" s="8"/>
      <c r="L698" s="8"/>
      <c r="O698" s="8"/>
      <c r="P698" s="8"/>
    </row>
    <row r="699">
      <c r="F699" s="8"/>
      <c r="L699" s="8"/>
      <c r="O699" s="8"/>
      <c r="P699" s="8"/>
    </row>
    <row r="700">
      <c r="F700" s="8"/>
      <c r="L700" s="8"/>
      <c r="O700" s="8"/>
      <c r="P700" s="8"/>
    </row>
    <row r="701">
      <c r="F701" s="8"/>
      <c r="L701" s="8"/>
      <c r="O701" s="8"/>
      <c r="P701" s="8"/>
    </row>
    <row r="702">
      <c r="F702" s="8"/>
      <c r="L702" s="8"/>
      <c r="O702" s="8"/>
      <c r="P702" s="8"/>
    </row>
    <row r="703">
      <c r="F703" s="8"/>
      <c r="L703" s="8"/>
      <c r="O703" s="8"/>
      <c r="P703" s="8"/>
    </row>
    <row r="704">
      <c r="F704" s="8"/>
      <c r="L704" s="8"/>
      <c r="O704" s="8"/>
      <c r="P704" s="8"/>
    </row>
    <row r="705">
      <c r="F705" s="8"/>
      <c r="L705" s="8"/>
      <c r="O705" s="8"/>
      <c r="P705" s="8"/>
    </row>
    <row r="706">
      <c r="F706" s="8"/>
      <c r="L706" s="8"/>
      <c r="O706" s="8"/>
      <c r="P706" s="8"/>
    </row>
    <row r="707">
      <c r="F707" s="8"/>
      <c r="L707" s="8"/>
      <c r="O707" s="8"/>
      <c r="P707" s="8"/>
    </row>
    <row r="708">
      <c r="F708" s="8"/>
      <c r="L708" s="8"/>
      <c r="O708" s="8"/>
      <c r="P708" s="8"/>
    </row>
    <row r="709">
      <c r="F709" s="8"/>
      <c r="L709" s="8"/>
      <c r="O709" s="8"/>
      <c r="P709" s="8"/>
    </row>
    <row r="710">
      <c r="F710" s="8"/>
      <c r="L710" s="8"/>
      <c r="O710" s="8"/>
      <c r="P710" s="8"/>
    </row>
    <row r="711">
      <c r="F711" s="8"/>
      <c r="L711" s="8"/>
      <c r="O711" s="8"/>
      <c r="P711" s="8"/>
    </row>
    <row r="712">
      <c r="F712" s="8"/>
      <c r="L712" s="8"/>
      <c r="O712" s="8"/>
      <c r="P712" s="8"/>
    </row>
    <row r="713">
      <c r="F713" s="8"/>
      <c r="L713" s="8"/>
      <c r="O713" s="8"/>
      <c r="P713" s="8"/>
    </row>
    <row r="714">
      <c r="F714" s="8"/>
      <c r="L714" s="8"/>
      <c r="O714" s="8"/>
      <c r="P714" s="8"/>
    </row>
    <row r="715">
      <c r="F715" s="8"/>
      <c r="L715" s="8"/>
      <c r="O715" s="8"/>
      <c r="P715" s="8"/>
    </row>
    <row r="716">
      <c r="F716" s="8"/>
      <c r="L716" s="8"/>
      <c r="O716" s="8"/>
      <c r="P716" s="8"/>
    </row>
    <row r="717">
      <c r="F717" s="8"/>
      <c r="L717" s="8"/>
      <c r="O717" s="8"/>
      <c r="P717" s="8"/>
    </row>
    <row r="718">
      <c r="F718" s="8"/>
      <c r="L718" s="8"/>
      <c r="O718" s="8"/>
      <c r="P718" s="8"/>
    </row>
    <row r="719">
      <c r="F719" s="8"/>
      <c r="L719" s="8"/>
      <c r="O719" s="8"/>
      <c r="P719" s="8"/>
    </row>
    <row r="720">
      <c r="F720" s="8"/>
      <c r="L720" s="8"/>
      <c r="O720" s="8"/>
      <c r="P720" s="8"/>
    </row>
    <row r="721">
      <c r="F721" s="8"/>
      <c r="L721" s="8"/>
      <c r="O721" s="8"/>
      <c r="P721" s="8"/>
    </row>
    <row r="722">
      <c r="F722" s="8"/>
      <c r="L722" s="8"/>
      <c r="O722" s="8"/>
      <c r="P722" s="8"/>
    </row>
    <row r="723">
      <c r="F723" s="8"/>
      <c r="L723" s="8"/>
      <c r="O723" s="8"/>
      <c r="P723" s="8"/>
    </row>
    <row r="724">
      <c r="F724" s="8"/>
      <c r="L724" s="8"/>
      <c r="O724" s="8"/>
      <c r="P724" s="8"/>
    </row>
    <row r="725">
      <c r="F725" s="8"/>
      <c r="L725" s="8"/>
      <c r="O725" s="8"/>
      <c r="P725" s="8"/>
    </row>
    <row r="726">
      <c r="F726" s="8"/>
      <c r="L726" s="8"/>
      <c r="O726" s="8"/>
      <c r="P726" s="8"/>
    </row>
    <row r="727">
      <c r="F727" s="8"/>
      <c r="L727" s="8"/>
      <c r="O727" s="8"/>
      <c r="P727" s="8"/>
    </row>
    <row r="728">
      <c r="F728" s="8"/>
      <c r="L728" s="8"/>
      <c r="O728" s="8"/>
      <c r="P728" s="8"/>
    </row>
    <row r="729">
      <c r="F729" s="8"/>
      <c r="L729" s="8"/>
      <c r="O729" s="8"/>
      <c r="P729" s="8"/>
    </row>
    <row r="730">
      <c r="F730" s="8"/>
      <c r="L730" s="8"/>
      <c r="O730" s="8"/>
      <c r="P730" s="8"/>
    </row>
    <row r="731">
      <c r="F731" s="8"/>
      <c r="L731" s="8"/>
      <c r="O731" s="8"/>
      <c r="P731" s="8"/>
    </row>
    <row r="732">
      <c r="F732" s="8"/>
      <c r="L732" s="8"/>
      <c r="O732" s="8"/>
      <c r="P732" s="8"/>
    </row>
    <row r="733">
      <c r="F733" s="8"/>
      <c r="L733" s="8"/>
      <c r="O733" s="8"/>
      <c r="P733" s="8"/>
    </row>
    <row r="734">
      <c r="F734" s="8"/>
      <c r="L734" s="8"/>
      <c r="O734" s="8"/>
      <c r="P734" s="8"/>
    </row>
    <row r="735">
      <c r="F735" s="8"/>
      <c r="L735" s="8"/>
      <c r="O735" s="8"/>
      <c r="P735" s="8"/>
    </row>
    <row r="736">
      <c r="F736" s="8"/>
      <c r="L736" s="8"/>
      <c r="O736" s="8"/>
      <c r="P736" s="8"/>
    </row>
    <row r="737">
      <c r="F737" s="8"/>
      <c r="L737" s="8"/>
      <c r="O737" s="8"/>
      <c r="P737" s="8"/>
    </row>
    <row r="738">
      <c r="F738" s="8"/>
      <c r="L738" s="8"/>
      <c r="O738" s="8"/>
      <c r="P738" s="8"/>
    </row>
    <row r="739">
      <c r="F739" s="8"/>
      <c r="L739" s="8"/>
      <c r="O739" s="8"/>
      <c r="P739" s="8"/>
    </row>
    <row r="740">
      <c r="F740" s="8"/>
      <c r="L740" s="8"/>
      <c r="O740" s="8"/>
      <c r="P740" s="8"/>
    </row>
    <row r="741">
      <c r="F741" s="8"/>
      <c r="L741" s="8"/>
      <c r="O741" s="8"/>
      <c r="P741" s="8"/>
    </row>
    <row r="742">
      <c r="F742" s="8"/>
      <c r="L742" s="8"/>
      <c r="O742" s="8"/>
      <c r="P742" s="8"/>
    </row>
    <row r="743">
      <c r="F743" s="8"/>
      <c r="L743" s="8"/>
      <c r="O743" s="8"/>
      <c r="P743" s="8"/>
    </row>
    <row r="744">
      <c r="F744" s="8"/>
      <c r="L744" s="8"/>
      <c r="O744" s="8"/>
      <c r="P744" s="8"/>
    </row>
    <row r="745">
      <c r="F745" s="8"/>
      <c r="L745" s="8"/>
      <c r="O745" s="8"/>
      <c r="P745" s="8"/>
    </row>
    <row r="746">
      <c r="F746" s="8"/>
      <c r="L746" s="8"/>
      <c r="O746" s="8"/>
      <c r="P746" s="8"/>
    </row>
    <row r="747">
      <c r="F747" s="8"/>
      <c r="L747" s="8"/>
      <c r="O747" s="8"/>
      <c r="P747" s="8"/>
    </row>
    <row r="748">
      <c r="F748" s="8"/>
      <c r="L748" s="8"/>
      <c r="O748" s="8"/>
      <c r="P748" s="8"/>
    </row>
    <row r="749">
      <c r="F749" s="8"/>
      <c r="L749" s="8"/>
      <c r="O749" s="8"/>
      <c r="P749" s="8"/>
    </row>
    <row r="750">
      <c r="F750" s="8"/>
      <c r="L750" s="8"/>
      <c r="O750" s="8"/>
      <c r="P750" s="8"/>
    </row>
    <row r="751">
      <c r="F751" s="8"/>
      <c r="L751" s="8"/>
      <c r="O751" s="8"/>
      <c r="P751" s="8"/>
    </row>
    <row r="752">
      <c r="F752" s="8"/>
      <c r="L752" s="8"/>
      <c r="O752" s="8"/>
      <c r="P752" s="8"/>
    </row>
    <row r="753">
      <c r="F753" s="8"/>
      <c r="L753" s="8"/>
      <c r="O753" s="8"/>
      <c r="P753" s="8"/>
    </row>
    <row r="754">
      <c r="F754" s="8"/>
      <c r="L754" s="8"/>
      <c r="O754" s="8"/>
      <c r="P754" s="8"/>
    </row>
    <row r="755">
      <c r="F755" s="8"/>
      <c r="L755" s="8"/>
      <c r="O755" s="8"/>
      <c r="P755" s="8"/>
    </row>
    <row r="756">
      <c r="F756" s="8"/>
      <c r="L756" s="8"/>
      <c r="O756" s="8"/>
      <c r="P756" s="8"/>
    </row>
    <row r="757">
      <c r="F757" s="8"/>
      <c r="L757" s="8"/>
      <c r="O757" s="8"/>
      <c r="P757" s="8"/>
    </row>
    <row r="758">
      <c r="F758" s="8"/>
      <c r="L758" s="8"/>
      <c r="O758" s="8"/>
      <c r="P758" s="8"/>
    </row>
    <row r="759">
      <c r="F759" s="8"/>
      <c r="L759" s="8"/>
      <c r="O759" s="8"/>
      <c r="P759" s="8"/>
    </row>
    <row r="760">
      <c r="F760" s="8"/>
      <c r="L760" s="8"/>
      <c r="O760" s="8"/>
      <c r="P760" s="8"/>
    </row>
    <row r="761">
      <c r="F761" s="8"/>
      <c r="L761" s="8"/>
      <c r="O761" s="8"/>
      <c r="P761" s="8"/>
    </row>
    <row r="762">
      <c r="F762" s="8"/>
      <c r="L762" s="8"/>
      <c r="O762" s="8"/>
      <c r="P762" s="8"/>
    </row>
    <row r="763">
      <c r="F763" s="8"/>
      <c r="L763" s="8"/>
      <c r="O763" s="8"/>
      <c r="P763" s="8"/>
    </row>
    <row r="764">
      <c r="F764" s="8"/>
      <c r="L764" s="8"/>
      <c r="O764" s="8"/>
      <c r="P764" s="8"/>
    </row>
    <row r="765">
      <c r="F765" s="8"/>
      <c r="L765" s="8"/>
      <c r="O765" s="8"/>
      <c r="P765" s="8"/>
    </row>
    <row r="766">
      <c r="F766" s="8"/>
      <c r="L766" s="8"/>
      <c r="O766" s="8"/>
      <c r="P766" s="8"/>
    </row>
    <row r="767">
      <c r="F767" s="8"/>
      <c r="L767" s="8"/>
      <c r="O767" s="8"/>
      <c r="P767" s="8"/>
    </row>
    <row r="768">
      <c r="F768" s="8"/>
      <c r="L768" s="8"/>
      <c r="O768" s="8"/>
      <c r="P768" s="8"/>
    </row>
    <row r="769">
      <c r="F769" s="8"/>
      <c r="L769" s="8"/>
      <c r="O769" s="8"/>
      <c r="P769" s="8"/>
    </row>
    <row r="770">
      <c r="F770" s="8"/>
      <c r="L770" s="8"/>
      <c r="O770" s="8"/>
      <c r="P770" s="8"/>
    </row>
    <row r="771">
      <c r="F771" s="8"/>
      <c r="L771" s="8"/>
      <c r="O771" s="8"/>
      <c r="P771" s="8"/>
    </row>
    <row r="772">
      <c r="F772" s="8"/>
      <c r="L772" s="8"/>
      <c r="O772" s="8"/>
      <c r="P772" s="8"/>
    </row>
    <row r="773">
      <c r="F773" s="8"/>
      <c r="L773" s="8"/>
      <c r="O773" s="8"/>
      <c r="P773" s="8"/>
    </row>
    <row r="774">
      <c r="F774" s="8"/>
      <c r="L774" s="8"/>
      <c r="O774" s="8"/>
      <c r="P774" s="8"/>
    </row>
    <row r="775">
      <c r="F775" s="8"/>
      <c r="L775" s="8"/>
      <c r="O775" s="8"/>
      <c r="P775" s="8"/>
    </row>
    <row r="776">
      <c r="F776" s="8"/>
      <c r="L776" s="8"/>
      <c r="O776" s="8"/>
      <c r="P776" s="8"/>
    </row>
    <row r="777">
      <c r="F777" s="8"/>
      <c r="L777" s="8"/>
      <c r="O777" s="8"/>
      <c r="P777" s="8"/>
    </row>
    <row r="778">
      <c r="F778" s="8"/>
      <c r="L778" s="8"/>
      <c r="O778" s="8"/>
      <c r="P778" s="8"/>
    </row>
    <row r="779">
      <c r="F779" s="8"/>
      <c r="L779" s="8"/>
      <c r="O779" s="8"/>
      <c r="P779" s="8"/>
    </row>
    <row r="780">
      <c r="F780" s="8"/>
      <c r="L780" s="8"/>
      <c r="O780" s="8"/>
      <c r="P780" s="8"/>
    </row>
    <row r="781">
      <c r="F781" s="8"/>
      <c r="L781" s="8"/>
      <c r="O781" s="8"/>
      <c r="P781" s="8"/>
    </row>
    <row r="782">
      <c r="F782" s="8"/>
      <c r="L782" s="8"/>
      <c r="O782" s="8"/>
      <c r="P782" s="8"/>
    </row>
    <row r="783">
      <c r="F783" s="8"/>
      <c r="L783" s="8"/>
      <c r="O783" s="8"/>
      <c r="P783" s="8"/>
    </row>
    <row r="784">
      <c r="F784" s="8"/>
      <c r="L784" s="8"/>
      <c r="O784" s="8"/>
      <c r="P784" s="8"/>
    </row>
    <row r="785">
      <c r="F785" s="8"/>
      <c r="L785" s="8"/>
      <c r="O785" s="8"/>
      <c r="P785" s="8"/>
    </row>
    <row r="786">
      <c r="F786" s="8"/>
      <c r="L786" s="8"/>
      <c r="O786" s="8"/>
      <c r="P786" s="8"/>
    </row>
    <row r="787">
      <c r="F787" s="8"/>
      <c r="L787" s="8"/>
      <c r="O787" s="8"/>
      <c r="P787" s="8"/>
    </row>
    <row r="788">
      <c r="F788" s="8"/>
      <c r="L788" s="8"/>
      <c r="O788" s="8"/>
      <c r="P788" s="8"/>
    </row>
    <row r="789">
      <c r="F789" s="8"/>
      <c r="L789" s="8"/>
      <c r="O789" s="8"/>
      <c r="P789" s="8"/>
    </row>
    <row r="790">
      <c r="F790" s="8"/>
      <c r="L790" s="8"/>
      <c r="O790" s="8"/>
      <c r="P790" s="8"/>
    </row>
    <row r="791">
      <c r="F791" s="8"/>
      <c r="L791" s="8"/>
      <c r="O791" s="8"/>
      <c r="P791" s="8"/>
    </row>
    <row r="792">
      <c r="F792" s="8"/>
      <c r="L792" s="8"/>
      <c r="O792" s="8"/>
      <c r="P792" s="8"/>
    </row>
    <row r="793">
      <c r="F793" s="8"/>
      <c r="L793" s="8"/>
      <c r="O793" s="8"/>
      <c r="P793" s="8"/>
    </row>
    <row r="794">
      <c r="F794" s="8"/>
      <c r="L794" s="8"/>
      <c r="O794" s="8"/>
      <c r="P794" s="8"/>
    </row>
    <row r="795">
      <c r="F795" s="8"/>
      <c r="L795" s="8"/>
      <c r="O795" s="8"/>
      <c r="P795" s="8"/>
    </row>
    <row r="796">
      <c r="F796" s="8"/>
      <c r="L796" s="8"/>
      <c r="O796" s="8"/>
      <c r="P796" s="8"/>
    </row>
    <row r="797">
      <c r="F797" s="8"/>
      <c r="L797" s="8"/>
      <c r="O797" s="8"/>
      <c r="P797" s="8"/>
    </row>
    <row r="798">
      <c r="F798" s="8"/>
      <c r="L798" s="8"/>
      <c r="O798" s="8"/>
      <c r="P798" s="8"/>
    </row>
    <row r="799">
      <c r="F799" s="8"/>
      <c r="L799" s="8"/>
      <c r="O799" s="8"/>
      <c r="P799" s="8"/>
    </row>
    <row r="800">
      <c r="F800" s="8"/>
      <c r="L800" s="8"/>
      <c r="O800" s="8"/>
      <c r="P800" s="8"/>
    </row>
    <row r="801">
      <c r="F801" s="8"/>
      <c r="L801" s="8"/>
      <c r="O801" s="8"/>
      <c r="P801" s="8"/>
    </row>
    <row r="802">
      <c r="F802" s="8"/>
      <c r="L802" s="8"/>
      <c r="O802" s="8"/>
      <c r="P802" s="8"/>
    </row>
    <row r="803">
      <c r="F803" s="8"/>
      <c r="L803" s="8"/>
      <c r="O803" s="8"/>
      <c r="P803" s="8"/>
    </row>
    <row r="804">
      <c r="F804" s="8"/>
      <c r="L804" s="8"/>
      <c r="O804" s="8"/>
      <c r="P804" s="8"/>
    </row>
    <row r="805">
      <c r="F805" s="8"/>
      <c r="L805" s="8"/>
      <c r="O805" s="8"/>
      <c r="P805" s="8"/>
    </row>
    <row r="806">
      <c r="F806" s="8"/>
      <c r="L806" s="8"/>
      <c r="O806" s="8"/>
      <c r="P806" s="8"/>
    </row>
    <row r="807">
      <c r="F807" s="8"/>
      <c r="L807" s="8"/>
      <c r="O807" s="8"/>
      <c r="P807" s="8"/>
    </row>
    <row r="808">
      <c r="F808" s="8"/>
      <c r="L808" s="8"/>
      <c r="O808" s="8"/>
      <c r="P808" s="8"/>
    </row>
    <row r="809">
      <c r="F809" s="8"/>
      <c r="L809" s="8"/>
      <c r="O809" s="8"/>
      <c r="P809" s="8"/>
    </row>
    <row r="810">
      <c r="F810" s="8"/>
      <c r="L810" s="8"/>
      <c r="O810" s="8"/>
      <c r="P810" s="8"/>
    </row>
    <row r="811">
      <c r="F811" s="8"/>
      <c r="L811" s="8"/>
      <c r="O811" s="8"/>
      <c r="P811" s="8"/>
    </row>
    <row r="812">
      <c r="F812" s="8"/>
      <c r="L812" s="8"/>
      <c r="O812" s="8"/>
      <c r="P812" s="8"/>
    </row>
    <row r="813">
      <c r="F813" s="8"/>
      <c r="L813" s="8"/>
      <c r="O813" s="8"/>
      <c r="P813" s="8"/>
    </row>
    <row r="814">
      <c r="F814" s="8"/>
      <c r="L814" s="8"/>
      <c r="O814" s="8"/>
      <c r="P814" s="8"/>
    </row>
    <row r="815">
      <c r="F815" s="8"/>
      <c r="L815" s="8"/>
      <c r="O815" s="8"/>
      <c r="P815" s="8"/>
    </row>
    <row r="816">
      <c r="F816" s="8"/>
      <c r="L816" s="8"/>
      <c r="O816" s="8"/>
      <c r="P816" s="8"/>
    </row>
    <row r="817">
      <c r="F817" s="8"/>
      <c r="L817" s="8"/>
      <c r="O817" s="8"/>
      <c r="P817" s="8"/>
    </row>
    <row r="818">
      <c r="F818" s="8"/>
      <c r="L818" s="8"/>
      <c r="O818" s="8"/>
      <c r="P818" s="8"/>
    </row>
    <row r="819">
      <c r="F819" s="8"/>
      <c r="L819" s="8"/>
      <c r="O819" s="8"/>
      <c r="P819" s="8"/>
    </row>
    <row r="820">
      <c r="F820" s="8"/>
      <c r="L820" s="8"/>
      <c r="O820" s="8"/>
      <c r="P820" s="8"/>
    </row>
    <row r="821">
      <c r="F821" s="8"/>
      <c r="L821" s="8"/>
      <c r="O821" s="8"/>
      <c r="P821" s="8"/>
    </row>
    <row r="822">
      <c r="F822" s="8"/>
      <c r="L822" s="8"/>
      <c r="O822" s="8"/>
      <c r="P822" s="8"/>
    </row>
    <row r="823">
      <c r="F823" s="8"/>
      <c r="L823" s="8"/>
      <c r="O823" s="8"/>
      <c r="P823" s="8"/>
    </row>
    <row r="824">
      <c r="F824" s="8"/>
      <c r="L824" s="8"/>
      <c r="O824" s="8"/>
      <c r="P824" s="8"/>
    </row>
    <row r="825">
      <c r="F825" s="8"/>
      <c r="L825" s="8"/>
      <c r="O825" s="8"/>
      <c r="P825" s="8"/>
    </row>
    <row r="826">
      <c r="F826" s="8"/>
      <c r="L826" s="8"/>
      <c r="O826" s="8"/>
      <c r="P826" s="8"/>
    </row>
    <row r="827">
      <c r="F827" s="8"/>
      <c r="L827" s="8"/>
      <c r="O827" s="8"/>
      <c r="P827" s="8"/>
    </row>
    <row r="828">
      <c r="F828" s="8"/>
      <c r="L828" s="8"/>
      <c r="O828" s="8"/>
      <c r="P828" s="8"/>
    </row>
    <row r="829">
      <c r="F829" s="8"/>
      <c r="L829" s="8"/>
      <c r="O829" s="8"/>
      <c r="P829" s="8"/>
    </row>
    <row r="830">
      <c r="F830" s="8"/>
      <c r="L830" s="8"/>
      <c r="O830" s="8"/>
      <c r="P830" s="8"/>
    </row>
    <row r="831">
      <c r="F831" s="8"/>
      <c r="L831" s="8"/>
      <c r="O831" s="8"/>
      <c r="P831" s="8"/>
    </row>
    <row r="832">
      <c r="F832" s="8"/>
      <c r="L832" s="8"/>
      <c r="O832" s="8"/>
      <c r="P832" s="8"/>
    </row>
    <row r="833">
      <c r="F833" s="8"/>
      <c r="L833" s="8"/>
      <c r="O833" s="8"/>
      <c r="P833" s="8"/>
    </row>
    <row r="834">
      <c r="F834" s="8"/>
      <c r="L834" s="8"/>
      <c r="O834" s="8"/>
      <c r="P834" s="8"/>
    </row>
    <row r="835">
      <c r="F835" s="8"/>
      <c r="L835" s="8"/>
      <c r="O835" s="8"/>
      <c r="P835" s="8"/>
    </row>
    <row r="836">
      <c r="F836" s="8"/>
      <c r="L836" s="8"/>
      <c r="O836" s="8"/>
      <c r="P836" s="8"/>
    </row>
    <row r="837">
      <c r="F837" s="8"/>
      <c r="L837" s="8"/>
      <c r="O837" s="8"/>
      <c r="P837" s="8"/>
    </row>
    <row r="838">
      <c r="F838" s="8"/>
      <c r="L838" s="8"/>
      <c r="O838" s="8"/>
      <c r="P838" s="8"/>
    </row>
    <row r="839">
      <c r="F839" s="8"/>
      <c r="L839" s="8"/>
      <c r="O839" s="8"/>
      <c r="P839" s="8"/>
    </row>
    <row r="840">
      <c r="F840" s="8"/>
      <c r="L840" s="8"/>
      <c r="O840" s="8"/>
      <c r="P840" s="8"/>
    </row>
    <row r="841">
      <c r="F841" s="8"/>
      <c r="L841" s="8"/>
      <c r="O841" s="8"/>
      <c r="P841" s="8"/>
    </row>
    <row r="842">
      <c r="F842" s="8"/>
      <c r="L842" s="8"/>
      <c r="O842" s="8"/>
      <c r="P842" s="8"/>
    </row>
    <row r="843">
      <c r="F843" s="8"/>
      <c r="L843" s="8"/>
      <c r="O843" s="8"/>
      <c r="P843" s="8"/>
    </row>
    <row r="844">
      <c r="F844" s="8"/>
      <c r="L844" s="8"/>
      <c r="O844" s="8"/>
      <c r="P844" s="8"/>
    </row>
    <row r="845">
      <c r="F845" s="8"/>
      <c r="L845" s="8"/>
      <c r="O845" s="8"/>
      <c r="P845" s="8"/>
    </row>
    <row r="846">
      <c r="F846" s="8"/>
      <c r="L846" s="8"/>
      <c r="O846" s="8"/>
      <c r="P846" s="8"/>
    </row>
    <row r="847">
      <c r="F847" s="8"/>
      <c r="L847" s="8"/>
      <c r="O847" s="8"/>
      <c r="P847" s="8"/>
    </row>
    <row r="848">
      <c r="F848" s="8"/>
      <c r="L848" s="8"/>
      <c r="O848" s="8"/>
      <c r="P848" s="8"/>
    </row>
    <row r="849">
      <c r="F849" s="8"/>
      <c r="L849" s="8"/>
      <c r="O849" s="8"/>
      <c r="P849" s="8"/>
    </row>
    <row r="850">
      <c r="F850" s="8"/>
      <c r="L850" s="8"/>
      <c r="O850" s="8"/>
      <c r="P850" s="8"/>
    </row>
    <row r="851">
      <c r="F851" s="8"/>
      <c r="L851" s="8"/>
      <c r="O851" s="8"/>
      <c r="P851" s="8"/>
    </row>
    <row r="852">
      <c r="F852" s="8"/>
      <c r="L852" s="8"/>
      <c r="O852" s="8"/>
      <c r="P852" s="8"/>
    </row>
    <row r="853">
      <c r="F853" s="8"/>
      <c r="L853" s="8"/>
      <c r="O853" s="8"/>
      <c r="P853" s="8"/>
    </row>
    <row r="854">
      <c r="F854" s="8"/>
      <c r="L854" s="8"/>
      <c r="O854" s="8"/>
      <c r="P854" s="8"/>
    </row>
    <row r="855">
      <c r="F855" s="8"/>
      <c r="L855" s="8"/>
      <c r="O855" s="8"/>
      <c r="P855" s="8"/>
    </row>
    <row r="856">
      <c r="F856" s="8"/>
      <c r="L856" s="8"/>
      <c r="O856" s="8"/>
      <c r="P856" s="8"/>
    </row>
    <row r="857">
      <c r="F857" s="8"/>
      <c r="L857" s="8"/>
      <c r="O857" s="8"/>
      <c r="P857" s="8"/>
    </row>
    <row r="858">
      <c r="F858" s="8"/>
      <c r="L858" s="8"/>
      <c r="O858" s="8"/>
      <c r="P858" s="8"/>
    </row>
    <row r="859">
      <c r="F859" s="8"/>
      <c r="L859" s="8"/>
      <c r="O859" s="8"/>
      <c r="P859" s="8"/>
    </row>
    <row r="860">
      <c r="F860" s="8"/>
      <c r="L860" s="8"/>
      <c r="O860" s="8"/>
      <c r="P860" s="8"/>
    </row>
    <row r="861">
      <c r="F861" s="8"/>
      <c r="L861" s="8"/>
      <c r="O861" s="8"/>
      <c r="P861" s="8"/>
    </row>
    <row r="862">
      <c r="F862" s="8"/>
      <c r="L862" s="8"/>
      <c r="O862" s="8"/>
      <c r="P862" s="8"/>
    </row>
    <row r="863">
      <c r="F863" s="8"/>
      <c r="L863" s="8"/>
      <c r="O863" s="8"/>
      <c r="P863" s="8"/>
    </row>
    <row r="864">
      <c r="F864" s="8"/>
      <c r="L864" s="8"/>
      <c r="O864" s="8"/>
      <c r="P864" s="8"/>
    </row>
    <row r="865">
      <c r="F865" s="8"/>
      <c r="L865" s="8"/>
      <c r="O865" s="8"/>
      <c r="P865" s="8"/>
    </row>
    <row r="866">
      <c r="F866" s="8"/>
      <c r="L866" s="8"/>
      <c r="O866" s="8"/>
      <c r="P866" s="8"/>
    </row>
    <row r="867">
      <c r="F867" s="8"/>
      <c r="L867" s="8"/>
      <c r="O867" s="8"/>
      <c r="P867" s="8"/>
    </row>
    <row r="868">
      <c r="F868" s="8"/>
      <c r="L868" s="8"/>
      <c r="O868" s="8"/>
      <c r="P868" s="8"/>
    </row>
    <row r="869">
      <c r="F869" s="8"/>
      <c r="L869" s="8"/>
      <c r="O869" s="8"/>
      <c r="P869" s="8"/>
    </row>
    <row r="870">
      <c r="F870" s="8"/>
      <c r="L870" s="8"/>
      <c r="O870" s="8"/>
      <c r="P870" s="8"/>
    </row>
    <row r="871">
      <c r="F871" s="8"/>
      <c r="L871" s="8"/>
      <c r="O871" s="8"/>
      <c r="P871" s="8"/>
    </row>
    <row r="872">
      <c r="F872" s="8"/>
      <c r="L872" s="8"/>
      <c r="O872" s="8"/>
      <c r="P872" s="8"/>
    </row>
    <row r="873">
      <c r="F873" s="8"/>
      <c r="L873" s="8"/>
      <c r="O873" s="8"/>
      <c r="P873" s="8"/>
    </row>
    <row r="874">
      <c r="F874" s="8"/>
      <c r="L874" s="8"/>
      <c r="O874" s="8"/>
      <c r="P874" s="8"/>
    </row>
    <row r="875">
      <c r="F875" s="8"/>
      <c r="L875" s="8"/>
      <c r="O875" s="8"/>
      <c r="P875" s="8"/>
    </row>
    <row r="876">
      <c r="F876" s="8"/>
      <c r="L876" s="8"/>
      <c r="O876" s="8"/>
      <c r="P876" s="8"/>
    </row>
    <row r="877">
      <c r="F877" s="8"/>
      <c r="L877" s="8"/>
      <c r="O877" s="8"/>
      <c r="P877" s="8"/>
    </row>
    <row r="878">
      <c r="F878" s="8"/>
      <c r="L878" s="8"/>
      <c r="O878" s="8"/>
      <c r="P878" s="8"/>
    </row>
    <row r="879">
      <c r="F879" s="8"/>
      <c r="L879" s="8"/>
      <c r="O879" s="8"/>
      <c r="P879" s="8"/>
    </row>
    <row r="880">
      <c r="F880" s="8"/>
      <c r="L880" s="8"/>
      <c r="O880" s="8"/>
      <c r="P880" s="8"/>
    </row>
    <row r="881">
      <c r="F881" s="8"/>
      <c r="L881" s="8"/>
      <c r="O881" s="8"/>
      <c r="P881" s="8"/>
    </row>
    <row r="882">
      <c r="F882" s="8"/>
      <c r="L882" s="8"/>
      <c r="O882" s="8"/>
      <c r="P882" s="8"/>
    </row>
    <row r="883">
      <c r="F883" s="8"/>
      <c r="L883" s="8"/>
      <c r="O883" s="8"/>
      <c r="P883" s="8"/>
    </row>
    <row r="884">
      <c r="F884" s="8"/>
      <c r="L884" s="8"/>
      <c r="O884" s="8"/>
      <c r="P884" s="8"/>
    </row>
    <row r="885">
      <c r="F885" s="8"/>
      <c r="L885" s="8"/>
      <c r="O885" s="8"/>
      <c r="P885" s="8"/>
    </row>
    <row r="886">
      <c r="F886" s="8"/>
      <c r="L886" s="8"/>
      <c r="O886" s="8"/>
      <c r="P886" s="8"/>
    </row>
    <row r="887">
      <c r="F887" s="8"/>
      <c r="L887" s="8"/>
      <c r="O887" s="8"/>
      <c r="P887" s="8"/>
    </row>
    <row r="888">
      <c r="F888" s="8"/>
      <c r="L888" s="8"/>
      <c r="O888" s="8"/>
      <c r="P888" s="8"/>
    </row>
    <row r="889">
      <c r="F889" s="8"/>
      <c r="L889" s="8"/>
      <c r="O889" s="8"/>
      <c r="P889" s="8"/>
    </row>
    <row r="890">
      <c r="F890" s="8"/>
      <c r="L890" s="8"/>
      <c r="O890" s="8"/>
      <c r="P890" s="8"/>
    </row>
    <row r="891">
      <c r="F891" s="8"/>
      <c r="L891" s="8"/>
      <c r="O891" s="8"/>
      <c r="P891" s="8"/>
    </row>
    <row r="892">
      <c r="F892" s="8"/>
      <c r="L892" s="8"/>
      <c r="O892" s="8"/>
      <c r="P892" s="8"/>
    </row>
    <row r="893">
      <c r="F893" s="8"/>
      <c r="L893" s="8"/>
      <c r="O893" s="8"/>
      <c r="P893" s="8"/>
    </row>
    <row r="894">
      <c r="F894" s="8"/>
      <c r="L894" s="8"/>
      <c r="O894" s="8"/>
      <c r="P894" s="8"/>
    </row>
    <row r="895">
      <c r="F895" s="8"/>
      <c r="L895" s="8"/>
      <c r="O895" s="8"/>
      <c r="P895" s="8"/>
    </row>
    <row r="896">
      <c r="F896" s="8"/>
      <c r="L896" s="8"/>
      <c r="O896" s="8"/>
      <c r="P896" s="8"/>
    </row>
    <row r="897">
      <c r="F897" s="8"/>
      <c r="L897" s="8"/>
      <c r="O897" s="8"/>
      <c r="P897" s="8"/>
    </row>
    <row r="898">
      <c r="F898" s="8"/>
      <c r="L898" s="8"/>
      <c r="O898" s="8"/>
      <c r="P898" s="8"/>
    </row>
    <row r="899">
      <c r="F899" s="8"/>
      <c r="L899" s="8"/>
      <c r="O899" s="8"/>
      <c r="P899" s="8"/>
    </row>
    <row r="900">
      <c r="F900" s="8"/>
      <c r="L900" s="8"/>
      <c r="O900" s="8"/>
      <c r="P900" s="8"/>
    </row>
    <row r="901">
      <c r="F901" s="8"/>
      <c r="L901" s="8"/>
      <c r="O901" s="8"/>
      <c r="P901" s="8"/>
    </row>
    <row r="902">
      <c r="F902" s="8"/>
      <c r="L902" s="8"/>
      <c r="O902" s="8"/>
      <c r="P902" s="8"/>
    </row>
    <row r="903">
      <c r="F903" s="8"/>
      <c r="L903" s="8"/>
      <c r="O903" s="8"/>
      <c r="P903" s="8"/>
    </row>
    <row r="904">
      <c r="F904" s="8"/>
      <c r="L904" s="8"/>
      <c r="O904" s="8"/>
      <c r="P904" s="8"/>
    </row>
    <row r="905">
      <c r="F905" s="8"/>
      <c r="L905" s="8"/>
      <c r="O905" s="8"/>
      <c r="P905" s="8"/>
    </row>
    <row r="906">
      <c r="F906" s="8"/>
      <c r="L906" s="8"/>
      <c r="O906" s="8"/>
      <c r="P906" s="8"/>
    </row>
    <row r="907">
      <c r="F907" s="8"/>
      <c r="L907" s="8"/>
      <c r="O907" s="8"/>
      <c r="P907" s="8"/>
    </row>
    <row r="908">
      <c r="F908" s="8"/>
      <c r="L908" s="8"/>
      <c r="O908" s="8"/>
      <c r="P908" s="8"/>
    </row>
    <row r="909">
      <c r="F909" s="8"/>
      <c r="L909" s="8"/>
      <c r="O909" s="8"/>
      <c r="P909" s="8"/>
    </row>
    <row r="910">
      <c r="F910" s="8"/>
      <c r="L910" s="8"/>
      <c r="O910" s="8"/>
      <c r="P910" s="8"/>
    </row>
    <row r="911">
      <c r="F911" s="8"/>
      <c r="L911" s="8"/>
      <c r="O911" s="8"/>
      <c r="P911" s="8"/>
    </row>
    <row r="912">
      <c r="F912" s="8"/>
      <c r="L912" s="8"/>
      <c r="O912" s="8"/>
      <c r="P912" s="8"/>
    </row>
    <row r="913">
      <c r="F913" s="8"/>
      <c r="L913" s="8"/>
      <c r="O913" s="8"/>
      <c r="P913" s="8"/>
    </row>
    <row r="914">
      <c r="F914" s="8"/>
      <c r="L914" s="8"/>
      <c r="O914" s="8"/>
      <c r="P914" s="8"/>
    </row>
    <row r="915">
      <c r="F915" s="8"/>
      <c r="L915" s="8"/>
      <c r="O915" s="8"/>
      <c r="P915" s="8"/>
    </row>
    <row r="916">
      <c r="F916" s="8"/>
      <c r="L916" s="8"/>
      <c r="O916" s="8"/>
      <c r="P916" s="8"/>
    </row>
    <row r="917">
      <c r="F917" s="8"/>
      <c r="L917" s="8"/>
      <c r="O917" s="8"/>
      <c r="P917" s="8"/>
    </row>
    <row r="918">
      <c r="F918" s="8"/>
      <c r="L918" s="8"/>
      <c r="O918" s="8"/>
      <c r="P918" s="8"/>
    </row>
    <row r="919">
      <c r="F919" s="8"/>
      <c r="L919" s="8"/>
      <c r="O919" s="8"/>
      <c r="P919" s="8"/>
    </row>
    <row r="920">
      <c r="F920" s="8"/>
      <c r="L920" s="8"/>
      <c r="O920" s="8"/>
      <c r="P920" s="8"/>
    </row>
    <row r="921">
      <c r="F921" s="8"/>
      <c r="L921" s="8"/>
      <c r="O921" s="8"/>
      <c r="P921" s="8"/>
    </row>
    <row r="922">
      <c r="F922" s="8"/>
      <c r="L922" s="8"/>
      <c r="O922" s="8"/>
      <c r="P922" s="8"/>
    </row>
    <row r="923">
      <c r="F923" s="8"/>
      <c r="L923" s="8"/>
      <c r="O923" s="8"/>
      <c r="P923" s="8"/>
    </row>
    <row r="924">
      <c r="F924" s="8"/>
      <c r="L924" s="8"/>
      <c r="O924" s="8"/>
      <c r="P924" s="8"/>
    </row>
    <row r="925">
      <c r="F925" s="8"/>
      <c r="L925" s="8"/>
      <c r="O925" s="8"/>
      <c r="P925" s="8"/>
    </row>
    <row r="926">
      <c r="F926" s="8"/>
      <c r="L926" s="8"/>
      <c r="O926" s="8"/>
      <c r="P926" s="8"/>
    </row>
    <row r="927">
      <c r="F927" s="8"/>
      <c r="L927" s="8"/>
      <c r="O927" s="8"/>
      <c r="P927" s="8"/>
    </row>
    <row r="928">
      <c r="F928" s="8"/>
      <c r="L928" s="8"/>
      <c r="O928" s="8"/>
      <c r="P928" s="8"/>
    </row>
    <row r="929">
      <c r="F929" s="8"/>
      <c r="L929" s="8"/>
      <c r="O929" s="8"/>
      <c r="P929" s="8"/>
    </row>
    <row r="930">
      <c r="F930" s="8"/>
      <c r="L930" s="8"/>
      <c r="O930" s="8"/>
      <c r="P930" s="8"/>
    </row>
    <row r="931">
      <c r="F931" s="8"/>
      <c r="L931" s="8"/>
      <c r="O931" s="8"/>
      <c r="P931" s="8"/>
    </row>
    <row r="932">
      <c r="F932" s="8"/>
      <c r="L932" s="8"/>
      <c r="O932" s="8"/>
      <c r="P932" s="8"/>
    </row>
    <row r="933">
      <c r="F933" s="8"/>
      <c r="L933" s="8"/>
      <c r="O933" s="8"/>
      <c r="P933" s="8"/>
    </row>
    <row r="934">
      <c r="F934" s="8"/>
      <c r="L934" s="8"/>
      <c r="O934" s="8"/>
      <c r="P934" s="8"/>
    </row>
    <row r="935">
      <c r="F935" s="8"/>
      <c r="L935" s="8"/>
      <c r="O935" s="8"/>
      <c r="P935" s="8"/>
    </row>
    <row r="936">
      <c r="F936" s="8"/>
      <c r="L936" s="8"/>
      <c r="O936" s="8"/>
      <c r="P936" s="8"/>
    </row>
    <row r="937">
      <c r="F937" s="8"/>
      <c r="L937" s="8"/>
      <c r="O937" s="8"/>
      <c r="P937" s="8"/>
    </row>
    <row r="938">
      <c r="F938" s="8"/>
      <c r="L938" s="8"/>
      <c r="O938" s="8"/>
      <c r="P938" s="8"/>
    </row>
    <row r="939">
      <c r="F939" s="8"/>
      <c r="L939" s="8"/>
      <c r="O939" s="8"/>
      <c r="P939" s="8"/>
    </row>
    <row r="940">
      <c r="F940" s="8"/>
      <c r="L940" s="8"/>
      <c r="O940" s="8"/>
      <c r="P940" s="8"/>
    </row>
    <row r="941">
      <c r="F941" s="8"/>
      <c r="L941" s="8"/>
      <c r="O941" s="8"/>
      <c r="P941" s="8"/>
    </row>
    <row r="942">
      <c r="F942" s="8"/>
      <c r="L942" s="8"/>
      <c r="O942" s="8"/>
      <c r="P942" s="8"/>
    </row>
    <row r="943">
      <c r="F943" s="8"/>
      <c r="L943" s="8"/>
      <c r="O943" s="8"/>
      <c r="P943" s="8"/>
    </row>
    <row r="944">
      <c r="F944" s="8"/>
      <c r="L944" s="8"/>
      <c r="O944" s="8"/>
      <c r="P944" s="8"/>
    </row>
    <row r="945">
      <c r="F945" s="8"/>
      <c r="L945" s="8"/>
      <c r="O945" s="8"/>
      <c r="P945" s="8"/>
    </row>
    <row r="946">
      <c r="F946" s="8"/>
      <c r="L946" s="8"/>
      <c r="O946" s="8"/>
      <c r="P946" s="8"/>
    </row>
    <row r="947">
      <c r="F947" s="8"/>
      <c r="L947" s="8"/>
      <c r="O947" s="8"/>
      <c r="P947" s="8"/>
    </row>
    <row r="948">
      <c r="F948" s="8"/>
      <c r="L948" s="8"/>
      <c r="O948" s="8"/>
      <c r="P948" s="8"/>
    </row>
    <row r="949">
      <c r="F949" s="8"/>
      <c r="L949" s="8"/>
      <c r="O949" s="8"/>
      <c r="P949" s="8"/>
    </row>
    <row r="950">
      <c r="F950" s="8"/>
      <c r="L950" s="8"/>
      <c r="O950" s="8"/>
      <c r="P950" s="8"/>
    </row>
    <row r="951">
      <c r="F951" s="8"/>
      <c r="L951" s="8"/>
      <c r="O951" s="8"/>
      <c r="P951" s="8"/>
    </row>
    <row r="952">
      <c r="F952" s="8"/>
      <c r="L952" s="8"/>
      <c r="O952" s="8"/>
      <c r="P952" s="8"/>
    </row>
    <row r="953">
      <c r="F953" s="8"/>
      <c r="L953" s="8"/>
      <c r="O953" s="8"/>
      <c r="P953" s="8"/>
    </row>
    <row r="954">
      <c r="F954" s="8"/>
      <c r="L954" s="8"/>
      <c r="O954" s="8"/>
      <c r="P954" s="8"/>
    </row>
    <row r="955">
      <c r="F955" s="8"/>
      <c r="L955" s="8"/>
      <c r="O955" s="8"/>
      <c r="P955" s="8"/>
    </row>
    <row r="956">
      <c r="F956" s="8"/>
      <c r="L956" s="8"/>
      <c r="O956" s="8"/>
      <c r="P956" s="8"/>
    </row>
    <row r="957">
      <c r="F957" s="8"/>
      <c r="L957" s="8"/>
      <c r="O957" s="8"/>
      <c r="P957" s="8"/>
    </row>
    <row r="958">
      <c r="F958" s="8"/>
      <c r="L958" s="8"/>
      <c r="O958" s="8"/>
      <c r="P958" s="8"/>
    </row>
    <row r="959">
      <c r="F959" s="8"/>
      <c r="L959" s="8"/>
      <c r="O959" s="8"/>
      <c r="P959" s="8"/>
    </row>
    <row r="960">
      <c r="F960" s="8"/>
      <c r="L960" s="8"/>
      <c r="O960" s="8"/>
      <c r="P960" s="8"/>
    </row>
    <row r="961">
      <c r="F961" s="8"/>
      <c r="L961" s="8"/>
      <c r="O961" s="8"/>
      <c r="P961" s="8"/>
    </row>
    <row r="962">
      <c r="F962" s="8"/>
      <c r="L962" s="8"/>
      <c r="O962" s="8"/>
      <c r="P962" s="8"/>
    </row>
    <row r="963">
      <c r="F963" s="8"/>
      <c r="L963" s="8"/>
      <c r="O963" s="8"/>
      <c r="P963" s="8"/>
    </row>
    <row r="964">
      <c r="F964" s="8"/>
      <c r="L964" s="8"/>
      <c r="O964" s="8"/>
      <c r="P964" s="8"/>
    </row>
    <row r="965">
      <c r="F965" s="8"/>
      <c r="L965" s="8"/>
      <c r="O965" s="8"/>
      <c r="P965" s="8"/>
    </row>
    <row r="966">
      <c r="F966" s="8"/>
      <c r="L966" s="8"/>
      <c r="O966" s="8"/>
      <c r="P966" s="8"/>
    </row>
    <row r="967">
      <c r="F967" s="8"/>
      <c r="L967" s="8"/>
      <c r="O967" s="8"/>
      <c r="P967" s="8"/>
    </row>
    <row r="968">
      <c r="F968" s="8"/>
      <c r="L968" s="8"/>
      <c r="O968" s="8"/>
      <c r="P968" s="8"/>
    </row>
    <row r="969">
      <c r="F969" s="8"/>
      <c r="L969" s="8"/>
      <c r="O969" s="8"/>
      <c r="P969" s="8"/>
    </row>
    <row r="970">
      <c r="F970" s="8"/>
      <c r="L970" s="8"/>
      <c r="O970" s="8"/>
      <c r="P970" s="8"/>
    </row>
    <row r="971">
      <c r="F971" s="8"/>
      <c r="L971" s="8"/>
      <c r="O971" s="8"/>
      <c r="P971" s="8"/>
    </row>
    <row r="972">
      <c r="F972" s="8"/>
      <c r="L972" s="8"/>
      <c r="O972" s="8"/>
      <c r="P972" s="8"/>
    </row>
    <row r="973">
      <c r="F973" s="8"/>
      <c r="L973" s="8"/>
      <c r="O973" s="8"/>
      <c r="P973" s="8"/>
    </row>
    <row r="974">
      <c r="F974" s="8"/>
      <c r="L974" s="8"/>
      <c r="O974" s="8"/>
      <c r="P974" s="8"/>
    </row>
    <row r="975">
      <c r="F975" s="8"/>
      <c r="L975" s="8"/>
      <c r="O975" s="8"/>
      <c r="P975" s="8"/>
    </row>
    <row r="976">
      <c r="F976" s="8"/>
      <c r="L976" s="8"/>
      <c r="O976" s="8"/>
      <c r="P976" s="8"/>
    </row>
    <row r="977">
      <c r="F977" s="8"/>
      <c r="L977" s="8"/>
      <c r="O977" s="8"/>
      <c r="P977" s="8"/>
    </row>
    <row r="978">
      <c r="F978" s="8"/>
      <c r="L978" s="8"/>
      <c r="O978" s="8"/>
      <c r="P978" s="8"/>
    </row>
    <row r="979">
      <c r="F979" s="8"/>
      <c r="L979" s="8"/>
      <c r="O979" s="8"/>
      <c r="P979" s="8"/>
    </row>
    <row r="980">
      <c r="F980" s="8"/>
      <c r="L980" s="8"/>
      <c r="O980" s="8"/>
      <c r="P980" s="8"/>
    </row>
    <row r="981">
      <c r="F981" s="8"/>
      <c r="L981" s="8"/>
      <c r="O981" s="8"/>
      <c r="P981" s="8"/>
    </row>
    <row r="982">
      <c r="F982" s="8"/>
      <c r="L982" s="8"/>
      <c r="O982" s="8"/>
      <c r="P982" s="8"/>
    </row>
    <row r="983">
      <c r="F983" s="8"/>
      <c r="L983" s="8"/>
      <c r="O983" s="8"/>
      <c r="P983" s="8"/>
    </row>
    <row r="984">
      <c r="F984" s="8"/>
      <c r="L984" s="8"/>
      <c r="O984" s="8"/>
      <c r="P984" s="8"/>
    </row>
    <row r="985">
      <c r="F985" s="8"/>
      <c r="L985" s="8"/>
      <c r="O985" s="8"/>
      <c r="P985" s="8"/>
    </row>
    <row r="986">
      <c r="F986" s="8"/>
      <c r="L986" s="8"/>
      <c r="O986" s="8"/>
      <c r="P986" s="8"/>
    </row>
    <row r="987">
      <c r="F987" s="8"/>
      <c r="L987" s="8"/>
      <c r="O987" s="8"/>
      <c r="P987" s="8"/>
    </row>
    <row r="988">
      <c r="F988" s="8"/>
      <c r="L988" s="8"/>
      <c r="O988" s="8"/>
      <c r="P988" s="8"/>
    </row>
    <row r="989">
      <c r="F989" s="8"/>
      <c r="L989" s="8"/>
      <c r="O989" s="8"/>
      <c r="P989" s="8"/>
    </row>
    <row r="990">
      <c r="F990" s="8"/>
      <c r="L990" s="8"/>
      <c r="O990" s="8"/>
      <c r="P990" s="8"/>
    </row>
    <row r="991">
      <c r="F991" s="8"/>
      <c r="L991" s="8"/>
      <c r="O991" s="8"/>
      <c r="P991" s="8"/>
    </row>
    <row r="992">
      <c r="F992" s="8"/>
      <c r="L992" s="8"/>
      <c r="O992" s="8"/>
      <c r="P992" s="8"/>
    </row>
    <row r="993">
      <c r="F993" s="8"/>
      <c r="L993" s="8"/>
      <c r="O993" s="8"/>
      <c r="P993" s="8"/>
    </row>
    <row r="994">
      <c r="F994" s="8"/>
      <c r="L994" s="8"/>
      <c r="O994" s="8"/>
      <c r="P994" s="8"/>
    </row>
    <row r="995">
      <c r="F995" s="8"/>
      <c r="L995" s="8"/>
      <c r="O995" s="8"/>
      <c r="P995" s="8"/>
    </row>
    <row r="996">
      <c r="F996" s="8"/>
      <c r="L996" s="8"/>
      <c r="O996" s="8"/>
      <c r="P996" s="8"/>
    </row>
    <row r="997">
      <c r="F997" s="8"/>
      <c r="L997" s="8"/>
      <c r="O997" s="8"/>
      <c r="P997" s="8"/>
    </row>
    <row r="998">
      <c r="F998" s="8"/>
      <c r="L998" s="8"/>
      <c r="O998" s="8"/>
      <c r="P998" s="8"/>
    </row>
    <row r="999">
      <c r="F999" s="8"/>
      <c r="L999" s="8"/>
      <c r="O999" s="8"/>
      <c r="P999" s="8"/>
    </row>
    <row r="1000">
      <c r="F1000" s="8"/>
      <c r="L1000" s="8"/>
      <c r="O1000" s="8"/>
      <c r="P1000" s="8"/>
    </row>
    <row r="1001">
      <c r="F1001" s="8"/>
      <c r="L1001" s="8"/>
      <c r="O1001" s="8"/>
      <c r="P1001" s="8"/>
    </row>
    <row r="1002">
      <c r="F1002" s="8"/>
      <c r="L1002" s="8"/>
      <c r="O1002" s="8"/>
      <c r="P1002" s="8"/>
    </row>
    <row r="1003">
      <c r="F1003" s="8"/>
      <c r="L1003" s="8"/>
      <c r="O1003" s="8"/>
      <c r="P1003" s="8"/>
    </row>
    <row r="1004">
      <c r="F1004" s="8"/>
      <c r="L1004" s="8"/>
      <c r="O1004" s="8"/>
      <c r="P1004" s="8"/>
    </row>
    <row r="1005">
      <c r="F1005" s="8"/>
      <c r="L1005" s="8"/>
      <c r="O1005" s="8"/>
      <c r="P1005" s="8"/>
    </row>
    <row r="1006">
      <c r="F1006" s="8"/>
      <c r="L1006" s="8"/>
      <c r="O1006" s="8"/>
      <c r="P1006" s="8"/>
    </row>
    <row r="1007">
      <c r="F1007" s="8"/>
      <c r="L1007" s="8"/>
      <c r="O1007" s="8"/>
      <c r="P1007" s="8"/>
    </row>
    <row r="1008">
      <c r="F1008" s="8"/>
      <c r="L1008" s="8"/>
      <c r="O1008" s="8"/>
      <c r="P1008" s="8"/>
    </row>
    <row r="1009">
      <c r="F1009" s="8"/>
      <c r="L1009" s="8"/>
      <c r="O1009" s="8"/>
      <c r="P1009" s="8"/>
    </row>
    <row r="1010">
      <c r="F1010" s="8"/>
      <c r="L1010" s="8"/>
      <c r="O1010" s="8"/>
      <c r="P1010" s="8"/>
    </row>
    <row r="1011">
      <c r="F1011" s="8"/>
      <c r="L1011" s="8"/>
      <c r="O1011" s="8"/>
      <c r="P1011" s="8"/>
    </row>
    <row r="1012">
      <c r="F1012" s="8"/>
      <c r="L1012" s="8"/>
      <c r="O1012" s="8"/>
      <c r="P1012" s="8"/>
    </row>
    <row r="1013">
      <c r="F1013" s="8"/>
      <c r="L1013" s="8"/>
      <c r="O1013" s="8"/>
      <c r="P1013" s="8"/>
    </row>
    <row r="1014">
      <c r="F1014" s="8"/>
      <c r="L1014" s="8"/>
      <c r="O1014" s="8"/>
      <c r="P1014" s="8"/>
    </row>
    <row r="1015">
      <c r="F1015" s="8"/>
      <c r="L1015" s="8"/>
      <c r="O1015" s="8"/>
      <c r="P1015" s="8"/>
    </row>
    <row r="1016">
      <c r="F1016" s="8"/>
      <c r="L1016" s="8"/>
      <c r="O1016" s="8"/>
      <c r="P1016" s="8"/>
    </row>
    <row r="1017">
      <c r="F1017" s="8"/>
      <c r="L1017" s="8"/>
      <c r="O1017" s="8"/>
      <c r="P1017" s="8"/>
    </row>
    <row r="1018">
      <c r="F1018" s="8"/>
      <c r="L1018" s="8"/>
      <c r="O1018" s="8"/>
      <c r="P1018" s="8"/>
    </row>
    <row r="1019">
      <c r="F1019" s="8"/>
      <c r="L1019" s="8"/>
      <c r="O1019" s="8"/>
      <c r="P1019" s="8"/>
    </row>
    <row r="1020">
      <c r="F1020" s="8"/>
      <c r="L1020" s="8"/>
      <c r="O1020" s="8"/>
      <c r="P1020" s="8"/>
    </row>
    <row r="1021">
      <c r="F1021" s="8"/>
      <c r="L1021" s="8"/>
      <c r="O1021" s="8"/>
      <c r="P1021" s="8"/>
    </row>
    <row r="1022">
      <c r="F1022" s="8"/>
      <c r="L1022" s="8"/>
      <c r="O1022" s="8"/>
      <c r="P1022" s="8"/>
    </row>
    <row r="1023">
      <c r="F1023" s="8"/>
      <c r="L1023" s="8"/>
      <c r="O1023" s="8"/>
      <c r="P1023" s="8"/>
    </row>
    <row r="1024">
      <c r="F1024" s="8"/>
      <c r="L1024" s="8"/>
      <c r="O1024" s="8"/>
      <c r="P1024" s="8"/>
    </row>
    <row r="1025">
      <c r="F1025" s="8"/>
      <c r="L1025" s="8"/>
      <c r="O1025" s="8"/>
      <c r="P1025" s="8"/>
    </row>
    <row r="1026">
      <c r="F1026" s="8"/>
      <c r="L1026" s="8"/>
      <c r="O1026" s="8"/>
      <c r="P1026" s="8"/>
    </row>
    <row r="1027">
      <c r="F1027" s="8"/>
      <c r="L1027" s="8"/>
      <c r="O1027" s="8"/>
      <c r="P1027" s="8"/>
    </row>
    <row r="1028">
      <c r="F1028" s="8"/>
      <c r="L1028" s="8"/>
      <c r="O1028" s="8"/>
      <c r="P1028" s="8"/>
    </row>
    <row r="1029">
      <c r="F1029" s="8"/>
      <c r="L1029" s="8"/>
      <c r="O1029" s="8"/>
      <c r="P1029" s="8"/>
    </row>
    <row r="1030">
      <c r="F1030" s="8"/>
      <c r="L1030" s="8"/>
      <c r="O1030" s="8"/>
      <c r="P1030" s="8"/>
    </row>
    <row r="1031">
      <c r="F1031" s="8"/>
      <c r="L1031" s="8"/>
      <c r="O1031" s="8"/>
      <c r="P1031" s="8"/>
    </row>
    <row r="1032">
      <c r="F1032" s="8"/>
      <c r="L1032" s="8"/>
      <c r="O1032" s="8"/>
      <c r="P1032" s="8"/>
    </row>
    <row r="1033">
      <c r="F1033" s="8"/>
      <c r="L1033" s="8"/>
      <c r="O1033" s="8"/>
      <c r="P1033" s="8"/>
    </row>
    <row r="1034">
      <c r="F1034" s="8"/>
      <c r="L1034" s="8"/>
      <c r="O1034" s="8"/>
      <c r="P1034" s="8"/>
    </row>
    <row r="1035">
      <c r="F1035" s="8"/>
      <c r="L1035" s="8"/>
      <c r="O1035" s="8"/>
      <c r="P1035" s="8"/>
    </row>
    <row r="1036">
      <c r="F1036" s="8"/>
      <c r="L1036" s="8"/>
      <c r="O1036" s="8"/>
      <c r="P1036" s="8"/>
    </row>
    <row r="1037">
      <c r="F1037" s="8"/>
      <c r="L1037" s="8"/>
      <c r="O1037" s="8"/>
      <c r="P1037" s="8"/>
    </row>
    <row r="1038">
      <c r="F1038" s="8"/>
      <c r="L1038" s="8"/>
      <c r="O1038" s="8"/>
      <c r="P1038" s="8"/>
    </row>
    <row r="1039">
      <c r="F1039" s="8"/>
      <c r="L1039" s="8"/>
      <c r="O1039" s="8"/>
      <c r="P1039" s="8"/>
    </row>
    <row r="1040">
      <c r="F1040" s="8"/>
      <c r="L1040" s="8"/>
      <c r="O1040" s="8"/>
      <c r="P1040" s="8"/>
    </row>
    <row r="1041">
      <c r="F1041" s="8"/>
      <c r="L1041" s="8"/>
      <c r="O1041" s="8"/>
      <c r="P1041" s="8"/>
    </row>
    <row r="1042">
      <c r="F1042" s="8"/>
      <c r="L1042" s="8"/>
      <c r="O1042" s="8"/>
      <c r="P1042" s="8"/>
    </row>
    <row r="1043">
      <c r="F1043" s="8"/>
      <c r="L1043" s="8"/>
      <c r="O1043" s="8"/>
      <c r="P1043" s="8"/>
    </row>
    <row r="1044">
      <c r="F1044" s="8"/>
      <c r="L1044" s="8"/>
      <c r="O1044" s="8"/>
      <c r="P1044" s="8"/>
    </row>
    <row r="1045">
      <c r="F1045" s="8"/>
      <c r="L1045" s="8"/>
      <c r="O1045" s="8"/>
      <c r="P1045" s="8"/>
    </row>
    <row r="1046">
      <c r="F1046" s="8"/>
      <c r="L1046" s="8"/>
      <c r="O1046" s="8"/>
      <c r="P1046" s="8"/>
    </row>
    <row r="1047">
      <c r="F1047" s="8"/>
      <c r="L1047" s="8"/>
      <c r="O1047" s="8"/>
      <c r="P1047" s="8"/>
    </row>
    <row r="1048">
      <c r="F1048" s="8"/>
      <c r="L1048" s="8"/>
      <c r="O1048" s="8"/>
      <c r="P1048" s="8"/>
    </row>
    <row r="1049">
      <c r="F1049" s="8"/>
      <c r="L1049" s="8"/>
      <c r="O1049" s="8"/>
      <c r="P1049" s="8"/>
    </row>
    <row r="1050">
      <c r="F1050" s="8"/>
      <c r="L1050" s="8"/>
      <c r="O1050" s="8"/>
      <c r="P1050" s="8"/>
    </row>
    <row r="1051">
      <c r="F1051" s="8"/>
      <c r="L1051" s="8"/>
      <c r="O1051" s="8"/>
      <c r="P1051" s="8"/>
    </row>
    <row r="1052">
      <c r="F1052" s="8"/>
      <c r="L1052" s="8"/>
      <c r="O1052" s="8"/>
      <c r="P1052" s="8"/>
    </row>
    <row r="1053">
      <c r="F1053" s="8"/>
      <c r="L1053" s="8"/>
      <c r="O1053" s="8"/>
      <c r="P1053" s="8"/>
    </row>
    <row r="1054">
      <c r="F1054" s="8"/>
      <c r="L1054" s="8"/>
      <c r="O1054" s="8"/>
      <c r="P1054" s="8"/>
    </row>
  </sheetData>
  <mergeCells count="61">
    <mergeCell ref="A188:A190"/>
    <mergeCell ref="A191:A193"/>
    <mergeCell ref="A194:A197"/>
    <mergeCell ref="A199:A202"/>
    <mergeCell ref="A203:A205"/>
    <mergeCell ref="A168:A170"/>
    <mergeCell ref="A171:A173"/>
    <mergeCell ref="A175:A176"/>
    <mergeCell ref="A177:A178"/>
    <mergeCell ref="A179:A181"/>
    <mergeCell ref="A182:A184"/>
    <mergeCell ref="A185:A187"/>
    <mergeCell ref="A3:A5"/>
    <mergeCell ref="A6:A8"/>
    <mergeCell ref="A9:A11"/>
    <mergeCell ref="A12:A14"/>
    <mergeCell ref="A15:A17"/>
    <mergeCell ref="A18:A20"/>
    <mergeCell ref="A22:A23"/>
    <mergeCell ref="A24:A26"/>
    <mergeCell ref="A28:A30"/>
    <mergeCell ref="A31:A33"/>
    <mergeCell ref="A35:A37"/>
    <mergeCell ref="A39:A41"/>
    <mergeCell ref="A42:A44"/>
    <mergeCell ref="A45:A47"/>
    <mergeCell ref="A48:A50"/>
    <mergeCell ref="A51:A53"/>
    <mergeCell ref="A54:A56"/>
    <mergeCell ref="A60:A62"/>
    <mergeCell ref="A63:A65"/>
    <mergeCell ref="A66:A68"/>
    <mergeCell ref="A69:A71"/>
    <mergeCell ref="A72:A74"/>
    <mergeCell ref="A81:A83"/>
    <mergeCell ref="A84:A86"/>
    <mergeCell ref="A87:A89"/>
    <mergeCell ref="A94:A96"/>
    <mergeCell ref="A97:A99"/>
    <mergeCell ref="A100:A102"/>
    <mergeCell ref="A104:A106"/>
    <mergeCell ref="A107:A109"/>
    <mergeCell ref="A111:A113"/>
    <mergeCell ref="A114:A116"/>
    <mergeCell ref="A117:A119"/>
    <mergeCell ref="A120:A122"/>
    <mergeCell ref="A123:A125"/>
    <mergeCell ref="A127:A128"/>
    <mergeCell ref="A129:A131"/>
    <mergeCell ref="A132:A134"/>
    <mergeCell ref="A135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</mergeCells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2.75"/>
    <col customWidth="1" min="6" max="6" width="19.38"/>
  </cols>
  <sheetData>
    <row r="1">
      <c r="A1" s="145" t="s">
        <v>275</v>
      </c>
      <c r="B1" s="146" t="s">
        <v>276</v>
      </c>
      <c r="C1" s="147"/>
      <c r="D1" s="147"/>
      <c r="F1" s="148" t="s">
        <v>277</v>
      </c>
      <c r="G1" s="148" t="s">
        <v>278</v>
      </c>
    </row>
    <row r="2">
      <c r="A2" s="149" t="s">
        <v>279</v>
      </c>
      <c r="B2" s="150">
        <v>970.0</v>
      </c>
      <c r="C2" s="150">
        <f>B2/1.15</f>
        <v>843.4782609</v>
      </c>
      <c r="D2" s="151">
        <f>C2/1.05</f>
        <v>803.3126294</v>
      </c>
      <c r="F2" s="1" t="s">
        <v>280</v>
      </c>
      <c r="G2" s="1">
        <v>100.0</v>
      </c>
      <c r="H2" s="8">
        <f t="shared" ref="H2:H9" si="1">G2/1.15</f>
        <v>86.95652174</v>
      </c>
      <c r="I2" s="8">
        <f t="shared" ref="I2:I9" si="2">H2/1.05</f>
        <v>82.81573499</v>
      </c>
    </row>
    <row r="3">
      <c r="A3" s="25"/>
      <c r="B3" s="25"/>
      <c r="C3" s="25"/>
      <c r="D3" s="25"/>
      <c r="F3" s="1" t="s">
        <v>281</v>
      </c>
      <c r="G3" s="1">
        <v>250.0</v>
      </c>
      <c r="H3" s="8">
        <f t="shared" si="1"/>
        <v>217.3913043</v>
      </c>
      <c r="I3" s="8">
        <f t="shared" si="2"/>
        <v>207.0393375</v>
      </c>
    </row>
    <row r="4">
      <c r="A4" s="33"/>
      <c r="B4" s="33"/>
      <c r="C4" s="33"/>
      <c r="D4" s="33"/>
      <c r="F4" s="1" t="s">
        <v>282</v>
      </c>
      <c r="G4" s="1">
        <v>300.0</v>
      </c>
      <c r="H4" s="8">
        <f t="shared" si="1"/>
        <v>260.8695652</v>
      </c>
      <c r="I4" s="8">
        <f t="shared" si="2"/>
        <v>248.447205</v>
      </c>
    </row>
    <row r="5">
      <c r="A5" s="149" t="s">
        <v>283</v>
      </c>
      <c r="B5" s="81">
        <v>500.0</v>
      </c>
      <c r="C5" s="152">
        <f>B5/1.15</f>
        <v>434.7826087</v>
      </c>
      <c r="D5" s="151">
        <f>C5/1.05</f>
        <v>414.0786749</v>
      </c>
      <c r="F5" s="1" t="s">
        <v>284</v>
      </c>
      <c r="G5" s="1">
        <v>200.0</v>
      </c>
      <c r="H5" s="8">
        <f t="shared" si="1"/>
        <v>173.9130435</v>
      </c>
      <c r="I5" s="8">
        <f t="shared" si="2"/>
        <v>165.63147</v>
      </c>
    </row>
    <row r="6">
      <c r="A6" s="33"/>
      <c r="B6" s="33"/>
      <c r="C6" s="153"/>
      <c r="D6" s="33"/>
      <c r="F6" s="1" t="s">
        <v>285</v>
      </c>
      <c r="G6" s="1">
        <v>150.0</v>
      </c>
      <c r="H6" s="8">
        <f t="shared" si="1"/>
        <v>130.4347826</v>
      </c>
      <c r="I6" s="8">
        <f t="shared" si="2"/>
        <v>124.2236025</v>
      </c>
    </row>
    <row r="7">
      <c r="A7" s="149" t="s">
        <v>286</v>
      </c>
      <c r="B7" s="154">
        <v>700.0</v>
      </c>
      <c r="C7" s="152">
        <f>B7/1.15</f>
        <v>608.6956522</v>
      </c>
      <c r="D7" s="151">
        <f>C7/1.05</f>
        <v>579.7101449</v>
      </c>
      <c r="F7" s="1" t="s">
        <v>287</v>
      </c>
      <c r="G7" s="1">
        <v>150.0</v>
      </c>
      <c r="H7" s="8">
        <f t="shared" si="1"/>
        <v>130.4347826</v>
      </c>
      <c r="I7" s="8">
        <f t="shared" si="2"/>
        <v>124.2236025</v>
      </c>
    </row>
    <row r="8">
      <c r="A8" s="25"/>
      <c r="B8" s="155"/>
      <c r="C8" s="155"/>
      <c r="D8" s="25"/>
      <c r="F8" s="1" t="s">
        <v>288</v>
      </c>
      <c r="G8" s="1">
        <v>200.0</v>
      </c>
      <c r="H8" s="8">
        <f t="shared" si="1"/>
        <v>173.9130435</v>
      </c>
      <c r="I8" s="8">
        <f t="shared" si="2"/>
        <v>165.63147</v>
      </c>
    </row>
    <row r="9">
      <c r="A9" s="25"/>
      <c r="B9" s="155"/>
      <c r="C9" s="155"/>
      <c r="D9" s="25"/>
      <c r="F9" s="1" t="s">
        <v>289</v>
      </c>
      <c r="G9" s="1">
        <v>200.0</v>
      </c>
      <c r="H9" s="8">
        <f t="shared" si="1"/>
        <v>173.9130435</v>
      </c>
      <c r="I9" s="8">
        <f t="shared" si="2"/>
        <v>165.63147</v>
      </c>
    </row>
    <row r="10">
      <c r="A10" s="33"/>
      <c r="B10" s="153"/>
      <c r="C10" s="153"/>
      <c r="D10" s="33"/>
    </row>
    <row r="11">
      <c r="A11" s="149" t="s">
        <v>290</v>
      </c>
      <c r="B11" s="154">
        <v>650.0</v>
      </c>
      <c r="C11" s="152">
        <f>B11/1.15</f>
        <v>565.2173913</v>
      </c>
      <c r="D11" s="151">
        <f>C11/1.05</f>
        <v>538.3022774</v>
      </c>
    </row>
    <row r="12">
      <c r="A12" s="25"/>
      <c r="B12" s="155"/>
      <c r="C12" s="155"/>
      <c r="D12" s="25"/>
    </row>
    <row r="13">
      <c r="A13" s="25"/>
      <c r="B13" s="155"/>
      <c r="C13" s="155"/>
      <c r="D13" s="25"/>
    </row>
    <row r="14">
      <c r="A14" s="25"/>
      <c r="B14" s="155"/>
      <c r="C14" s="155"/>
      <c r="D14" s="25"/>
    </row>
    <row r="15">
      <c r="A15" s="25"/>
      <c r="B15" s="155"/>
      <c r="C15" s="155"/>
      <c r="D15" s="25"/>
    </row>
    <row r="16">
      <c r="A16" s="33"/>
      <c r="B16" s="153"/>
      <c r="C16" s="153"/>
      <c r="D16" s="33"/>
    </row>
    <row r="17">
      <c r="A17" s="156" t="s">
        <v>291</v>
      </c>
      <c r="B17" s="154">
        <v>1100.0</v>
      </c>
      <c r="C17" s="152">
        <f>B17/1.15</f>
        <v>956.5217391</v>
      </c>
      <c r="D17" s="151">
        <f>C17/1.05</f>
        <v>910.9730849</v>
      </c>
    </row>
    <row r="18">
      <c r="A18" s="25"/>
      <c r="B18" s="155"/>
      <c r="C18" s="155"/>
      <c r="D18" s="25"/>
    </row>
    <row r="19">
      <c r="A19" s="25"/>
      <c r="B19" s="155"/>
      <c r="C19" s="155"/>
      <c r="D19" s="25"/>
    </row>
    <row r="20">
      <c r="A20" s="33"/>
      <c r="B20" s="153"/>
      <c r="C20" s="153"/>
      <c r="D20" s="33"/>
    </row>
    <row r="21">
      <c r="A21" s="149" t="s">
        <v>292</v>
      </c>
      <c r="B21" s="154">
        <v>650.0</v>
      </c>
      <c r="C21" s="152">
        <f>B21/1.15</f>
        <v>565.2173913</v>
      </c>
      <c r="D21" s="151">
        <f>C21/1.05</f>
        <v>538.3022774</v>
      </c>
    </row>
    <row r="22">
      <c r="A22" s="25"/>
      <c r="B22" s="155"/>
      <c r="C22" s="155"/>
      <c r="D22" s="25"/>
    </row>
    <row r="23">
      <c r="A23" s="25"/>
      <c r="B23" s="155"/>
      <c r="C23" s="155"/>
      <c r="D23" s="25"/>
    </row>
    <row r="24">
      <c r="A24" s="33"/>
      <c r="B24" s="153"/>
      <c r="C24" s="153"/>
      <c r="D24" s="33"/>
    </row>
    <row r="25">
      <c r="A25" s="149" t="s">
        <v>293</v>
      </c>
      <c r="B25" s="154">
        <v>1100.0</v>
      </c>
      <c r="C25" s="152">
        <f>B25/1.15</f>
        <v>956.5217391</v>
      </c>
      <c r="D25" s="151">
        <f>C25/1.05</f>
        <v>910.9730849</v>
      </c>
    </row>
    <row r="26">
      <c r="A26" s="25"/>
      <c r="B26" s="155"/>
      <c r="C26" s="155"/>
      <c r="D26" s="25"/>
    </row>
    <row r="27">
      <c r="A27" s="25"/>
      <c r="B27" s="155"/>
      <c r="C27" s="155"/>
      <c r="D27" s="25"/>
    </row>
    <row r="28">
      <c r="A28" s="33"/>
      <c r="B28" s="153"/>
      <c r="C28" s="153"/>
      <c r="D28" s="33"/>
    </row>
    <row r="29">
      <c r="A29" s="156" t="s">
        <v>294</v>
      </c>
      <c r="B29" s="154">
        <v>1550.0</v>
      </c>
      <c r="C29" s="152">
        <f>B29/1.15</f>
        <v>1347.826087</v>
      </c>
      <c r="D29" s="151">
        <f>C29/1.05</f>
        <v>1283.643892</v>
      </c>
    </row>
    <row r="30">
      <c r="A30" s="25"/>
      <c r="B30" s="155"/>
      <c r="C30" s="155"/>
      <c r="D30" s="25"/>
    </row>
    <row r="31">
      <c r="A31" s="25"/>
      <c r="B31" s="155"/>
      <c r="C31" s="155"/>
      <c r="D31" s="25"/>
    </row>
    <row r="32">
      <c r="A32" s="25"/>
      <c r="B32" s="155"/>
      <c r="C32" s="155"/>
      <c r="D32" s="25"/>
    </row>
    <row r="33">
      <c r="A33" s="33"/>
      <c r="B33" s="153"/>
      <c r="C33" s="153"/>
      <c r="D33" s="33"/>
    </row>
    <row r="34">
      <c r="A34" s="156" t="s">
        <v>295</v>
      </c>
      <c r="B34" s="154">
        <v>650.0</v>
      </c>
      <c r="C34" s="152">
        <f>B34/1.15</f>
        <v>565.2173913</v>
      </c>
      <c r="D34" s="151">
        <f>C34/1.05</f>
        <v>538.3022774</v>
      </c>
    </row>
    <row r="35">
      <c r="A35" s="25"/>
      <c r="B35" s="155"/>
      <c r="C35" s="155"/>
      <c r="D35" s="25"/>
    </row>
    <row r="36">
      <c r="A36" s="25"/>
      <c r="B36" s="155"/>
      <c r="C36" s="155"/>
      <c r="D36" s="25"/>
    </row>
    <row r="37">
      <c r="A37" s="33"/>
      <c r="B37" s="153"/>
      <c r="C37" s="153"/>
      <c r="D37" s="33"/>
    </row>
    <row r="38">
      <c r="A38" s="156" t="s">
        <v>296</v>
      </c>
      <c r="B38" s="154">
        <v>1200.0</v>
      </c>
      <c r="C38" s="152">
        <f>B38/1.15</f>
        <v>1043.478261</v>
      </c>
      <c r="D38" s="151">
        <f>C38/1.05</f>
        <v>993.7888199</v>
      </c>
    </row>
    <row r="39">
      <c r="A39" s="25"/>
      <c r="B39" s="155"/>
      <c r="C39" s="155"/>
      <c r="D39" s="25"/>
    </row>
    <row r="40">
      <c r="A40" s="25"/>
      <c r="B40" s="155"/>
      <c r="C40" s="155"/>
      <c r="D40" s="25"/>
    </row>
    <row r="41">
      <c r="A41" s="33"/>
      <c r="B41" s="153"/>
      <c r="C41" s="153"/>
      <c r="D41" s="33"/>
    </row>
    <row r="42">
      <c r="A42" s="149" t="s">
        <v>297</v>
      </c>
      <c r="B42" s="154">
        <v>1250.0</v>
      </c>
      <c r="C42" s="152">
        <f>B42/1.15</f>
        <v>1086.956522</v>
      </c>
      <c r="D42" s="151">
        <f>C42/1.05</f>
        <v>1035.196687</v>
      </c>
    </row>
    <row r="43">
      <c r="A43" s="25"/>
      <c r="B43" s="155"/>
      <c r="C43" s="155"/>
      <c r="D43" s="25"/>
    </row>
    <row r="44">
      <c r="A44" s="25"/>
      <c r="B44" s="155"/>
      <c r="C44" s="155"/>
      <c r="D44" s="25"/>
    </row>
    <row r="45">
      <c r="A45" s="25"/>
      <c r="B45" s="155"/>
      <c r="C45" s="155"/>
      <c r="D45" s="25"/>
    </row>
    <row r="46">
      <c r="A46" s="25"/>
      <c r="B46" s="155"/>
      <c r="C46" s="155"/>
      <c r="D46" s="25"/>
    </row>
    <row r="47">
      <c r="A47" s="33"/>
      <c r="B47" s="153"/>
      <c r="C47" s="153"/>
      <c r="D47" s="33"/>
    </row>
    <row r="48">
      <c r="A48" s="149" t="s">
        <v>298</v>
      </c>
      <c r="B48" s="154">
        <v>800.0</v>
      </c>
      <c r="C48" s="152">
        <f>B48/1.15</f>
        <v>695.6521739</v>
      </c>
      <c r="D48" s="151">
        <f>C48/1.05</f>
        <v>662.5258799</v>
      </c>
    </row>
    <row r="49">
      <c r="A49" s="25"/>
      <c r="B49" s="155"/>
      <c r="C49" s="155"/>
      <c r="D49" s="25"/>
    </row>
    <row r="50">
      <c r="A50" s="25"/>
      <c r="B50" s="155"/>
      <c r="C50" s="155"/>
      <c r="D50" s="25"/>
    </row>
    <row r="51">
      <c r="A51" s="33"/>
      <c r="B51" s="153"/>
      <c r="C51" s="153"/>
      <c r="D51" s="33"/>
    </row>
    <row r="52">
      <c r="A52" s="156" t="s">
        <v>299</v>
      </c>
      <c r="B52" s="154">
        <v>650.0</v>
      </c>
      <c r="C52" s="152">
        <f>B52/1.15</f>
        <v>565.2173913</v>
      </c>
      <c r="D52" s="151">
        <f>C52/1.05</f>
        <v>538.3022774</v>
      </c>
    </row>
    <row r="53">
      <c r="A53" s="25"/>
      <c r="B53" s="155"/>
      <c r="C53" s="155"/>
      <c r="D53" s="25"/>
    </row>
    <row r="54">
      <c r="A54" s="25"/>
      <c r="B54" s="155"/>
      <c r="C54" s="155"/>
      <c r="D54" s="25"/>
    </row>
    <row r="55">
      <c r="A55" s="33"/>
      <c r="B55" s="153"/>
      <c r="C55" s="153"/>
      <c r="D55" s="33"/>
    </row>
    <row r="56">
      <c r="A56" s="156" t="s">
        <v>300</v>
      </c>
      <c r="B56" s="154">
        <v>600.0</v>
      </c>
      <c r="C56" s="152">
        <f>B56/1.15</f>
        <v>521.7391304</v>
      </c>
      <c r="D56" s="151">
        <f>C56/1.05</f>
        <v>496.8944099</v>
      </c>
    </row>
    <row r="57">
      <c r="A57" s="25"/>
      <c r="B57" s="155"/>
      <c r="C57" s="155"/>
      <c r="D57" s="25"/>
    </row>
    <row r="58">
      <c r="A58" s="33"/>
      <c r="B58" s="153"/>
      <c r="C58" s="153"/>
      <c r="D58" s="33"/>
    </row>
    <row r="59">
      <c r="A59" s="149" t="s">
        <v>301</v>
      </c>
      <c r="B59" s="154">
        <v>1700.0</v>
      </c>
      <c r="C59" s="152">
        <f>B59/1.15</f>
        <v>1478.26087</v>
      </c>
      <c r="D59" s="151">
        <f>C59/1.05</f>
        <v>1407.867495</v>
      </c>
    </row>
    <row r="60">
      <c r="A60" s="25"/>
      <c r="B60" s="155"/>
      <c r="C60" s="155"/>
      <c r="D60" s="25"/>
    </row>
    <row r="61">
      <c r="A61" s="25"/>
      <c r="B61" s="155"/>
      <c r="C61" s="155"/>
      <c r="D61" s="25"/>
    </row>
    <row r="62">
      <c r="A62" s="25"/>
      <c r="B62" s="155"/>
      <c r="C62" s="155"/>
      <c r="D62" s="25"/>
    </row>
    <row r="63">
      <c r="A63" s="25"/>
      <c r="B63" s="155"/>
      <c r="C63" s="155"/>
      <c r="D63" s="25"/>
    </row>
    <row r="64">
      <c r="A64" s="33"/>
      <c r="B64" s="153"/>
      <c r="C64" s="153"/>
      <c r="D64" s="33"/>
    </row>
    <row r="65">
      <c r="A65" s="149" t="s">
        <v>302</v>
      </c>
      <c r="B65" s="154">
        <v>1300.0</v>
      </c>
      <c r="C65" s="152">
        <f>B65/1.15</f>
        <v>1130.434783</v>
      </c>
      <c r="D65" s="151">
        <f>C65/1.05</f>
        <v>1076.604555</v>
      </c>
    </row>
    <row r="66">
      <c r="A66" s="25"/>
      <c r="B66" s="155"/>
      <c r="C66" s="155"/>
      <c r="D66" s="25"/>
    </row>
    <row r="67">
      <c r="A67" s="33"/>
      <c r="B67" s="153"/>
      <c r="C67" s="153"/>
      <c r="D67" s="33"/>
    </row>
    <row r="68">
      <c r="A68" s="149" t="s">
        <v>303</v>
      </c>
      <c r="B68" s="154">
        <v>1200.0</v>
      </c>
      <c r="C68" s="152">
        <f>B68/1.15</f>
        <v>1043.478261</v>
      </c>
      <c r="D68" s="151">
        <f>C68/1.05</f>
        <v>993.7888199</v>
      </c>
    </row>
    <row r="69">
      <c r="A69" s="25"/>
      <c r="B69" s="155"/>
      <c r="C69" s="155"/>
      <c r="D69" s="25"/>
    </row>
    <row r="70">
      <c r="A70" s="33"/>
      <c r="B70" s="153"/>
      <c r="C70" s="153"/>
      <c r="D70" s="33"/>
    </row>
    <row r="71">
      <c r="A71" s="111" t="s">
        <v>304</v>
      </c>
      <c r="B71" s="154">
        <v>1500.0</v>
      </c>
      <c r="C71" s="152">
        <f>B71/1.15</f>
        <v>1304.347826</v>
      </c>
      <c r="D71" s="151">
        <f>C71/1.05</f>
        <v>1242.236025</v>
      </c>
    </row>
    <row r="72">
      <c r="A72" s="25"/>
      <c r="B72" s="155"/>
      <c r="C72" s="155"/>
      <c r="D72" s="25"/>
    </row>
    <row r="73">
      <c r="A73" s="33"/>
      <c r="B73" s="153"/>
      <c r="C73" s="153"/>
      <c r="D73" s="33"/>
    </row>
    <row r="74">
      <c r="A74" s="149" t="s">
        <v>305</v>
      </c>
      <c r="B74" s="154">
        <v>800.0</v>
      </c>
      <c r="C74" s="152">
        <f>B74/1.15</f>
        <v>695.6521739</v>
      </c>
      <c r="D74" s="151">
        <f>C74/1.05</f>
        <v>662.5258799</v>
      </c>
    </row>
    <row r="75">
      <c r="A75" s="25"/>
      <c r="B75" s="155"/>
      <c r="C75" s="155"/>
      <c r="D75" s="25"/>
    </row>
    <row r="76">
      <c r="A76" s="25"/>
      <c r="B76" s="155"/>
      <c r="C76" s="155"/>
      <c r="D76" s="25"/>
    </row>
    <row r="77">
      <c r="A77" s="25"/>
      <c r="B77" s="155"/>
      <c r="C77" s="155"/>
      <c r="D77" s="25"/>
    </row>
    <row r="78">
      <c r="A78" s="33"/>
      <c r="B78" s="153"/>
      <c r="C78" s="153"/>
      <c r="D78" s="33"/>
    </row>
    <row r="79">
      <c r="A79" s="149" t="s">
        <v>306</v>
      </c>
      <c r="B79" s="154">
        <v>1300.0</v>
      </c>
      <c r="C79" s="152">
        <f>B79/1.15</f>
        <v>1130.434783</v>
      </c>
      <c r="D79" s="151">
        <f>C79/1.05</f>
        <v>1076.604555</v>
      </c>
    </row>
    <row r="80">
      <c r="A80" s="25"/>
      <c r="B80" s="155"/>
      <c r="C80" s="155"/>
      <c r="D80" s="25"/>
    </row>
    <row r="81">
      <c r="A81" s="33"/>
      <c r="B81" s="153"/>
      <c r="C81" s="153"/>
      <c r="D81" s="33"/>
    </row>
    <row r="82">
      <c r="A82" s="149" t="s">
        <v>307</v>
      </c>
      <c r="B82" s="154">
        <v>1600.0</v>
      </c>
      <c r="C82" s="152">
        <f>B82/1.15</f>
        <v>1391.304348</v>
      </c>
      <c r="D82" s="151">
        <f>C82/1.05</f>
        <v>1325.05176</v>
      </c>
    </row>
    <row r="83">
      <c r="A83" s="25"/>
      <c r="B83" s="155"/>
      <c r="C83" s="155"/>
      <c r="D83" s="25"/>
    </row>
    <row r="84">
      <c r="A84" s="33"/>
      <c r="B84" s="153"/>
      <c r="C84" s="153"/>
      <c r="D84" s="33"/>
    </row>
    <row r="85">
      <c r="A85" s="149" t="s">
        <v>308</v>
      </c>
      <c r="B85" s="154">
        <v>1400.0</v>
      </c>
      <c r="C85" s="152">
        <f>B85/1.15</f>
        <v>1217.391304</v>
      </c>
      <c r="D85" s="151">
        <f>C85/1.05</f>
        <v>1159.42029</v>
      </c>
    </row>
    <row r="86">
      <c r="A86" s="25"/>
      <c r="B86" s="155"/>
      <c r="C86" s="155"/>
      <c r="D86" s="25"/>
    </row>
    <row r="87">
      <c r="A87" s="33"/>
      <c r="B87" s="153"/>
      <c r="C87" s="153"/>
      <c r="D87" s="33"/>
    </row>
    <row r="88">
      <c r="A88" s="149" t="s">
        <v>309</v>
      </c>
      <c r="B88" s="154">
        <v>1300.0</v>
      </c>
      <c r="C88" s="152">
        <f>B88/1.15</f>
        <v>1130.434783</v>
      </c>
      <c r="D88" s="151">
        <f>C88/1.05</f>
        <v>1076.604555</v>
      </c>
    </row>
    <row r="89">
      <c r="A89" s="25"/>
      <c r="B89" s="155"/>
      <c r="C89" s="155"/>
      <c r="D89" s="25"/>
    </row>
    <row r="90">
      <c r="A90" s="33"/>
      <c r="B90" s="153"/>
      <c r="C90" s="153"/>
      <c r="D90" s="33"/>
    </row>
    <row r="91">
      <c r="A91" s="156" t="s">
        <v>310</v>
      </c>
      <c r="B91" s="154">
        <v>900.0</v>
      </c>
      <c r="C91" s="152">
        <f>B91/1.15</f>
        <v>782.6086957</v>
      </c>
      <c r="D91" s="151">
        <f>C91/1.05</f>
        <v>745.3416149</v>
      </c>
    </row>
    <row r="92">
      <c r="A92" s="25"/>
      <c r="B92" s="155"/>
      <c r="C92" s="155"/>
      <c r="D92" s="25"/>
    </row>
    <row r="93">
      <c r="A93" s="33"/>
      <c r="B93" s="153"/>
      <c r="C93" s="153"/>
      <c r="D93" s="33"/>
    </row>
    <row r="94">
      <c r="A94" s="149" t="s">
        <v>311</v>
      </c>
      <c r="B94" s="154">
        <v>1900.0</v>
      </c>
      <c r="C94" s="152">
        <f>B94/1.15</f>
        <v>1652.173913</v>
      </c>
      <c r="D94" s="151">
        <f>C94/1.05</f>
        <v>1573.498965</v>
      </c>
    </row>
    <row r="95">
      <c r="A95" s="25"/>
      <c r="B95" s="155"/>
      <c r="C95" s="155"/>
      <c r="D95" s="25"/>
    </row>
    <row r="96">
      <c r="A96" s="33"/>
      <c r="B96" s="153"/>
      <c r="C96" s="153"/>
      <c r="D96" s="33"/>
    </row>
    <row r="97">
      <c r="A97" s="149" t="s">
        <v>312</v>
      </c>
      <c r="B97" s="154">
        <v>1600.0</v>
      </c>
      <c r="C97" s="152">
        <f>B97/1.15</f>
        <v>1391.304348</v>
      </c>
      <c r="D97" s="151">
        <f>C97/1.05</f>
        <v>1325.05176</v>
      </c>
    </row>
    <row r="98">
      <c r="A98" s="25"/>
      <c r="B98" s="155"/>
      <c r="C98" s="155"/>
      <c r="D98" s="25"/>
    </row>
    <row r="99">
      <c r="A99" s="25"/>
      <c r="B99" s="155"/>
      <c r="C99" s="155"/>
      <c r="D99" s="25"/>
    </row>
    <row r="100">
      <c r="A100" s="33"/>
      <c r="B100" s="153"/>
      <c r="C100" s="153"/>
      <c r="D100" s="33"/>
    </row>
    <row r="101">
      <c r="A101" s="149" t="s">
        <v>313</v>
      </c>
      <c r="B101" s="154">
        <v>800.0</v>
      </c>
      <c r="C101" s="152">
        <f>B101/1.15</f>
        <v>695.6521739</v>
      </c>
      <c r="D101" s="151">
        <f>C101/1.05</f>
        <v>662.5258799</v>
      </c>
    </row>
    <row r="102">
      <c r="A102" s="25"/>
      <c r="B102" s="155"/>
      <c r="C102" s="155"/>
      <c r="D102" s="25"/>
    </row>
    <row r="103">
      <c r="A103" s="25"/>
      <c r="B103" s="155"/>
      <c r="C103" s="155"/>
      <c r="D103" s="25"/>
    </row>
    <row r="104">
      <c r="A104" s="25"/>
      <c r="B104" s="155"/>
      <c r="C104" s="155"/>
      <c r="D104" s="25"/>
    </row>
    <row r="105">
      <c r="A105" s="33"/>
      <c r="B105" s="153"/>
      <c r="C105" s="153"/>
      <c r="D105" s="33"/>
    </row>
    <row r="106">
      <c r="A106" s="149" t="s">
        <v>314</v>
      </c>
      <c r="B106" s="154">
        <v>900.0</v>
      </c>
      <c r="C106" s="152">
        <f>B106/1.15</f>
        <v>782.6086957</v>
      </c>
      <c r="D106" s="151">
        <f>C106/1.05</f>
        <v>745.3416149</v>
      </c>
    </row>
    <row r="107">
      <c r="A107" s="25"/>
      <c r="B107" s="155"/>
      <c r="C107" s="155"/>
      <c r="D107" s="25"/>
    </row>
    <row r="108">
      <c r="A108" s="25"/>
      <c r="B108" s="155"/>
      <c r="C108" s="155"/>
      <c r="D108" s="25"/>
    </row>
    <row r="109">
      <c r="A109" s="25"/>
      <c r="B109" s="155"/>
      <c r="C109" s="155"/>
      <c r="D109" s="25"/>
    </row>
    <row r="110">
      <c r="A110" s="33"/>
      <c r="B110" s="153"/>
      <c r="C110" s="153"/>
      <c r="D110" s="33"/>
    </row>
    <row r="111">
      <c r="A111" s="149" t="s">
        <v>315</v>
      </c>
      <c r="B111" s="154">
        <v>1700.0</v>
      </c>
      <c r="C111" s="152">
        <f>B111/1.15</f>
        <v>1478.26087</v>
      </c>
      <c r="D111" s="151">
        <f>C111/1.05</f>
        <v>1407.867495</v>
      </c>
    </row>
    <row r="112">
      <c r="A112" s="25"/>
      <c r="B112" s="155"/>
      <c r="C112" s="155"/>
      <c r="D112" s="25"/>
    </row>
    <row r="113">
      <c r="A113" s="25"/>
      <c r="B113" s="155"/>
      <c r="C113" s="155"/>
      <c r="D113" s="25"/>
    </row>
    <row r="114">
      <c r="A114" s="25"/>
      <c r="B114" s="155"/>
      <c r="C114" s="155"/>
      <c r="D114" s="25"/>
    </row>
    <row r="115">
      <c r="A115" s="33"/>
      <c r="B115" s="153"/>
      <c r="C115" s="153"/>
      <c r="D115" s="33"/>
    </row>
    <row r="116">
      <c r="A116" s="156" t="s">
        <v>316</v>
      </c>
      <c r="B116" s="154">
        <v>1250.0</v>
      </c>
      <c r="C116" s="152">
        <f>B116/1.15</f>
        <v>1086.956522</v>
      </c>
      <c r="D116" s="151">
        <f>C116/1.05</f>
        <v>1035.196687</v>
      </c>
    </row>
    <row r="117">
      <c r="A117" s="25"/>
      <c r="B117" s="155"/>
      <c r="C117" s="155"/>
      <c r="D117" s="25"/>
    </row>
    <row r="118">
      <c r="A118" s="25"/>
      <c r="B118" s="155"/>
      <c r="C118" s="155"/>
      <c r="D118" s="25"/>
    </row>
    <row r="119">
      <c r="A119" s="25"/>
      <c r="B119" s="155"/>
      <c r="C119" s="155"/>
      <c r="D119" s="25"/>
    </row>
    <row r="120">
      <c r="A120" s="33"/>
      <c r="B120" s="153"/>
      <c r="C120" s="153"/>
      <c r="D120" s="33"/>
    </row>
    <row r="121">
      <c r="A121" s="156" t="s">
        <v>317</v>
      </c>
      <c r="B121" s="154">
        <v>1200.0</v>
      </c>
      <c r="C121" s="152">
        <f>B121/1.15</f>
        <v>1043.478261</v>
      </c>
      <c r="D121" s="151">
        <f>C121/1.05</f>
        <v>993.7888199</v>
      </c>
    </row>
    <row r="122">
      <c r="A122" s="25"/>
      <c r="B122" s="155"/>
      <c r="C122" s="155"/>
      <c r="D122" s="25"/>
    </row>
    <row r="123">
      <c r="A123" s="25"/>
      <c r="B123" s="155"/>
      <c r="C123" s="155"/>
      <c r="D123" s="25"/>
    </row>
    <row r="124">
      <c r="A124" s="33"/>
      <c r="B124" s="153"/>
      <c r="C124" s="153"/>
      <c r="D124" s="33"/>
    </row>
    <row r="125">
      <c r="A125" s="149" t="s">
        <v>318</v>
      </c>
      <c r="B125" s="154">
        <v>1000.0</v>
      </c>
      <c r="C125" s="152">
        <f>B125/1.15</f>
        <v>869.5652174</v>
      </c>
      <c r="D125" s="151">
        <f>C125/1.05</f>
        <v>828.1573499</v>
      </c>
    </row>
    <row r="126">
      <c r="A126" s="33"/>
      <c r="B126" s="153"/>
      <c r="C126" s="153"/>
      <c r="D126" s="33"/>
    </row>
    <row r="127">
      <c r="A127" s="149" t="s">
        <v>319</v>
      </c>
      <c r="B127" s="154">
        <v>1500.0</v>
      </c>
      <c r="C127" s="152">
        <f>B127/1.15</f>
        <v>1304.347826</v>
      </c>
      <c r="D127" s="151">
        <f>C127/1.05</f>
        <v>1242.236025</v>
      </c>
    </row>
    <row r="128">
      <c r="A128" s="25"/>
      <c r="B128" s="155"/>
      <c r="C128" s="155"/>
      <c r="D128" s="25"/>
    </row>
    <row r="129">
      <c r="A129" s="25"/>
      <c r="B129" s="155"/>
      <c r="C129" s="155"/>
      <c r="D129" s="25"/>
    </row>
    <row r="130">
      <c r="A130" s="33"/>
      <c r="B130" s="153"/>
      <c r="C130" s="153"/>
      <c r="D130" s="33"/>
    </row>
    <row r="131">
      <c r="A131" s="149" t="s">
        <v>320</v>
      </c>
      <c r="B131" s="154">
        <v>1500.0</v>
      </c>
      <c r="C131" s="152">
        <f>B131/1.15</f>
        <v>1304.347826</v>
      </c>
      <c r="D131" s="151">
        <f>C131/1.05</f>
        <v>1242.236025</v>
      </c>
    </row>
    <row r="132">
      <c r="A132" s="25"/>
      <c r="B132" s="155"/>
      <c r="C132" s="155"/>
      <c r="D132" s="25"/>
    </row>
    <row r="133">
      <c r="A133" s="25"/>
      <c r="B133" s="155"/>
      <c r="C133" s="155"/>
      <c r="D133" s="25"/>
    </row>
    <row r="134">
      <c r="A134" s="33"/>
      <c r="B134" s="153"/>
      <c r="C134" s="153"/>
      <c r="D134" s="33"/>
    </row>
    <row r="135">
      <c r="A135" s="156" t="s">
        <v>321</v>
      </c>
      <c r="B135" s="154">
        <v>750.0</v>
      </c>
      <c r="C135" s="152">
        <f>B135/1.15</f>
        <v>652.173913</v>
      </c>
      <c r="D135" s="151">
        <f>C135/1.05</f>
        <v>621.1180124</v>
      </c>
    </row>
    <row r="136">
      <c r="A136" s="25"/>
      <c r="B136" s="155"/>
      <c r="C136" s="155"/>
      <c r="D136" s="25"/>
    </row>
    <row r="137">
      <c r="A137" s="25"/>
      <c r="B137" s="155"/>
      <c r="C137" s="155"/>
      <c r="D137" s="25"/>
    </row>
    <row r="138">
      <c r="A138" s="25"/>
      <c r="B138" s="155"/>
      <c r="C138" s="155"/>
      <c r="D138" s="25"/>
    </row>
    <row r="139">
      <c r="A139" s="33"/>
      <c r="B139" s="153"/>
      <c r="C139" s="153"/>
      <c r="D139" s="33"/>
    </row>
    <row r="140">
      <c r="A140" s="156" t="s">
        <v>322</v>
      </c>
      <c r="B140" s="154">
        <v>750.0</v>
      </c>
      <c r="C140" s="152">
        <f>B140/1.15</f>
        <v>652.173913</v>
      </c>
      <c r="D140" s="151">
        <f>C140/1.05</f>
        <v>621.1180124</v>
      </c>
    </row>
    <row r="141">
      <c r="A141" s="25"/>
      <c r="B141" s="155"/>
      <c r="C141" s="155"/>
      <c r="D141" s="25"/>
    </row>
    <row r="142">
      <c r="A142" s="25"/>
      <c r="B142" s="155"/>
      <c r="C142" s="155"/>
      <c r="D142" s="25"/>
    </row>
    <row r="143">
      <c r="A143" s="25"/>
      <c r="B143" s="155"/>
      <c r="C143" s="155"/>
      <c r="D143" s="25"/>
    </row>
    <row r="144">
      <c r="A144" s="33"/>
      <c r="B144" s="153"/>
      <c r="C144" s="153"/>
      <c r="D144" s="33"/>
    </row>
    <row r="145">
      <c r="A145" s="156" t="s">
        <v>323</v>
      </c>
      <c r="B145" s="154">
        <v>750.0</v>
      </c>
      <c r="C145" s="152">
        <f>B145/1.15</f>
        <v>652.173913</v>
      </c>
      <c r="D145" s="151">
        <f>C145/1.05</f>
        <v>621.1180124</v>
      </c>
    </row>
    <row r="146">
      <c r="A146" s="25"/>
      <c r="B146" s="155"/>
      <c r="C146" s="155"/>
      <c r="D146" s="25"/>
    </row>
    <row r="147">
      <c r="A147" s="25"/>
      <c r="B147" s="155"/>
      <c r="C147" s="155"/>
      <c r="D147" s="25"/>
    </row>
    <row r="148">
      <c r="A148" s="25"/>
      <c r="B148" s="155"/>
      <c r="C148" s="155"/>
      <c r="D148" s="25"/>
    </row>
    <row r="149">
      <c r="A149" s="33"/>
      <c r="B149" s="153"/>
      <c r="C149" s="153"/>
      <c r="D149" s="33"/>
    </row>
    <row r="150">
      <c r="A150" s="149" t="s">
        <v>320</v>
      </c>
      <c r="B150" s="154">
        <v>1500.0</v>
      </c>
      <c r="C150" s="152">
        <f>B150/1.15</f>
        <v>1304.347826</v>
      </c>
      <c r="D150" s="151">
        <f>C150/1.05</f>
        <v>1242.236025</v>
      </c>
    </row>
    <row r="151">
      <c r="A151" s="25"/>
      <c r="B151" s="155"/>
      <c r="C151" s="155"/>
      <c r="D151" s="25"/>
    </row>
    <row r="152">
      <c r="A152" s="25"/>
      <c r="B152" s="155"/>
      <c r="C152" s="155"/>
      <c r="D152" s="25"/>
    </row>
    <row r="153">
      <c r="A153" s="33"/>
      <c r="B153" s="153"/>
      <c r="C153" s="153"/>
      <c r="D153" s="33"/>
    </row>
    <row r="154">
      <c r="A154" s="156" t="s">
        <v>324</v>
      </c>
      <c r="B154" s="154">
        <v>900.0</v>
      </c>
      <c r="C154" s="152">
        <f>B154/1.15</f>
        <v>782.6086957</v>
      </c>
      <c r="D154" s="157">
        <f>C154/1.05</f>
        <v>745.3416149</v>
      </c>
    </row>
    <row r="155">
      <c r="A155" s="25"/>
      <c r="B155" s="155"/>
      <c r="C155" s="155"/>
      <c r="D155" s="155"/>
    </row>
    <row r="156">
      <c r="A156" s="25"/>
      <c r="B156" s="155"/>
      <c r="C156" s="155"/>
      <c r="D156" s="155"/>
    </row>
    <row r="157">
      <c r="A157" s="33"/>
      <c r="B157" s="153"/>
      <c r="C157" s="153"/>
      <c r="D157" s="153"/>
    </row>
    <row r="158">
      <c r="A158" s="156" t="s">
        <v>325</v>
      </c>
      <c r="B158" s="154">
        <v>550.0</v>
      </c>
      <c r="C158" s="152">
        <f>B158/1.15</f>
        <v>478.2608696</v>
      </c>
      <c r="D158" s="157">
        <f>C158/1.05</f>
        <v>455.4865424</v>
      </c>
    </row>
    <row r="159">
      <c r="A159" s="25"/>
      <c r="B159" s="155"/>
      <c r="C159" s="155"/>
      <c r="D159" s="155"/>
    </row>
    <row r="160">
      <c r="A160" s="33"/>
      <c r="B160" s="153"/>
      <c r="C160" s="153"/>
      <c r="D160" s="153"/>
    </row>
    <row r="161">
      <c r="A161" s="156" t="s">
        <v>326</v>
      </c>
      <c r="B161" s="154">
        <v>550.0</v>
      </c>
      <c r="C161" s="152">
        <f>B161/1.15</f>
        <v>478.2608696</v>
      </c>
      <c r="D161" s="157">
        <f>C161/1.05</f>
        <v>455.4865424</v>
      </c>
    </row>
    <row r="162">
      <c r="A162" s="25"/>
      <c r="B162" s="155"/>
      <c r="C162" s="155"/>
      <c r="D162" s="155"/>
    </row>
    <row r="163">
      <c r="A163" s="33"/>
      <c r="B163" s="153"/>
      <c r="C163" s="153"/>
      <c r="D163" s="153"/>
    </row>
    <row r="164">
      <c r="A164" s="156" t="s">
        <v>327</v>
      </c>
      <c r="B164" s="154">
        <v>500.0</v>
      </c>
      <c r="C164" s="152">
        <f>B164/1.15</f>
        <v>434.7826087</v>
      </c>
      <c r="D164" s="157">
        <f>C164/1.05</f>
        <v>414.0786749</v>
      </c>
    </row>
    <row r="165">
      <c r="A165" s="25"/>
      <c r="B165" s="155"/>
      <c r="C165" s="155"/>
      <c r="D165" s="155"/>
    </row>
    <row r="166">
      <c r="A166" s="33"/>
      <c r="B166" s="153"/>
      <c r="C166" s="153"/>
      <c r="D166" s="153"/>
    </row>
    <row r="167">
      <c r="A167" s="10" t="s">
        <v>12</v>
      </c>
      <c r="B167" s="16">
        <v>200.0</v>
      </c>
      <c r="C167" s="16">
        <f t="shared" ref="C167:C333" si="3">B167/1.15</f>
        <v>173.9130435</v>
      </c>
      <c r="D167" s="14">
        <f t="shared" ref="D167:D333" si="4">C167/1.05</f>
        <v>165.63147</v>
      </c>
    </row>
    <row r="168">
      <c r="A168" s="19" t="s">
        <v>14</v>
      </c>
      <c r="B168" s="22">
        <v>15000.0</v>
      </c>
      <c r="C168" s="158">
        <f t="shared" si="3"/>
        <v>13043.47826</v>
      </c>
      <c r="D168" s="14">
        <f t="shared" si="4"/>
        <v>12422.36025</v>
      </c>
    </row>
    <row r="169">
      <c r="A169" s="26" t="s">
        <v>17</v>
      </c>
      <c r="B169" s="32">
        <v>8500.0</v>
      </c>
      <c r="C169" s="158">
        <f t="shared" si="3"/>
        <v>7391.304348</v>
      </c>
      <c r="D169" s="14">
        <f t="shared" si="4"/>
        <v>7039.337474</v>
      </c>
    </row>
    <row r="170">
      <c r="A170" s="34" t="s">
        <v>18</v>
      </c>
      <c r="B170" s="13">
        <v>500.0</v>
      </c>
      <c r="C170" s="158">
        <f t="shared" si="3"/>
        <v>434.7826087</v>
      </c>
      <c r="D170" s="14">
        <f t="shared" si="4"/>
        <v>414.0786749</v>
      </c>
    </row>
    <row r="171">
      <c r="A171" s="19" t="s">
        <v>19</v>
      </c>
      <c r="B171" s="22">
        <v>2500.0</v>
      </c>
      <c r="C171" s="158">
        <f t="shared" si="3"/>
        <v>2173.913043</v>
      </c>
      <c r="D171" s="14">
        <f t="shared" si="4"/>
        <v>2070.393375</v>
      </c>
    </row>
    <row r="172">
      <c r="A172" s="39" t="s">
        <v>21</v>
      </c>
      <c r="B172" s="45">
        <v>700.0</v>
      </c>
      <c r="C172" s="158">
        <f t="shared" si="3"/>
        <v>608.6956522</v>
      </c>
      <c r="D172" s="14">
        <f t="shared" si="4"/>
        <v>579.7101449</v>
      </c>
    </row>
    <row r="173">
      <c r="A173" s="46" t="s">
        <v>22</v>
      </c>
      <c r="B173" s="13">
        <v>100.0</v>
      </c>
      <c r="C173" s="158">
        <f t="shared" si="3"/>
        <v>86.95652174</v>
      </c>
      <c r="D173" s="14">
        <f t="shared" si="4"/>
        <v>82.81573499</v>
      </c>
    </row>
    <row r="174">
      <c r="A174" s="19" t="s">
        <v>23</v>
      </c>
      <c r="B174" s="22">
        <v>2500.0</v>
      </c>
      <c r="C174" s="158">
        <f t="shared" si="3"/>
        <v>2173.913043</v>
      </c>
      <c r="D174" s="14">
        <f t="shared" si="4"/>
        <v>2070.393375</v>
      </c>
    </row>
    <row r="175">
      <c r="A175" s="39" t="s">
        <v>25</v>
      </c>
      <c r="B175" s="45">
        <v>700.0</v>
      </c>
      <c r="C175" s="158">
        <f t="shared" si="3"/>
        <v>608.6956522</v>
      </c>
      <c r="D175" s="14">
        <f t="shared" si="4"/>
        <v>579.7101449</v>
      </c>
    </row>
    <row r="176">
      <c r="A176" s="46" t="s">
        <v>26</v>
      </c>
      <c r="B176" s="13">
        <v>100.0</v>
      </c>
      <c r="C176" s="158">
        <f t="shared" si="3"/>
        <v>86.95652174</v>
      </c>
      <c r="D176" s="14">
        <f t="shared" si="4"/>
        <v>82.81573499</v>
      </c>
    </row>
    <row r="177">
      <c r="A177" s="19" t="s">
        <v>27</v>
      </c>
      <c r="B177" s="22">
        <v>2500.0</v>
      </c>
      <c r="C177" s="158">
        <f t="shared" si="3"/>
        <v>2173.913043</v>
      </c>
      <c r="D177" s="14">
        <f t="shared" si="4"/>
        <v>2070.393375</v>
      </c>
    </row>
    <row r="178">
      <c r="A178" s="26" t="s">
        <v>29</v>
      </c>
      <c r="B178" s="45">
        <v>700.0</v>
      </c>
      <c r="C178" s="158">
        <f t="shared" si="3"/>
        <v>608.6956522</v>
      </c>
      <c r="D178" s="14">
        <f t="shared" si="4"/>
        <v>579.7101449</v>
      </c>
    </row>
    <row r="179">
      <c r="A179" s="51" t="s">
        <v>30</v>
      </c>
      <c r="B179" s="13">
        <v>100.0</v>
      </c>
      <c r="C179" s="158">
        <f t="shared" si="3"/>
        <v>86.95652174</v>
      </c>
      <c r="D179" s="14">
        <f t="shared" si="4"/>
        <v>82.81573499</v>
      </c>
    </row>
    <row r="180">
      <c r="A180" s="19" t="s">
        <v>31</v>
      </c>
      <c r="B180" s="22">
        <v>2700.0</v>
      </c>
      <c r="C180" s="158">
        <f t="shared" si="3"/>
        <v>2347.826087</v>
      </c>
      <c r="D180" s="14">
        <f t="shared" si="4"/>
        <v>2236.024845</v>
      </c>
    </row>
    <row r="181">
      <c r="A181" s="26" t="s">
        <v>33</v>
      </c>
      <c r="B181" s="32">
        <v>800.0</v>
      </c>
      <c r="C181" s="158">
        <f t="shared" si="3"/>
        <v>695.6521739</v>
      </c>
      <c r="D181" s="14">
        <f t="shared" si="4"/>
        <v>662.5258799</v>
      </c>
    </row>
    <row r="182">
      <c r="A182" s="46" t="s">
        <v>34</v>
      </c>
      <c r="B182" s="13">
        <v>150.0</v>
      </c>
      <c r="C182" s="158">
        <f t="shared" si="3"/>
        <v>130.4347826</v>
      </c>
      <c r="D182" s="14">
        <f t="shared" si="4"/>
        <v>124.2236025</v>
      </c>
    </row>
    <row r="183">
      <c r="A183" s="19" t="s">
        <v>35</v>
      </c>
      <c r="B183" s="22">
        <v>18500.0</v>
      </c>
      <c r="C183" s="158">
        <f t="shared" si="3"/>
        <v>16086.95652</v>
      </c>
      <c r="D183" s="14">
        <f t="shared" si="4"/>
        <v>15320.91097</v>
      </c>
    </row>
    <row r="184">
      <c r="A184" s="26" t="s">
        <v>37</v>
      </c>
      <c r="B184" s="32">
        <v>10000.0</v>
      </c>
      <c r="C184" s="158">
        <f t="shared" si="3"/>
        <v>8695.652174</v>
      </c>
      <c r="D184" s="14">
        <f t="shared" si="4"/>
        <v>8281.573499</v>
      </c>
    </row>
    <row r="185">
      <c r="A185" s="34" t="s">
        <v>38</v>
      </c>
      <c r="B185" s="13">
        <v>650.0</v>
      </c>
      <c r="C185" s="158">
        <f t="shared" si="3"/>
        <v>565.2173913</v>
      </c>
      <c r="D185" s="14">
        <f t="shared" si="4"/>
        <v>538.3022774</v>
      </c>
    </row>
    <row r="186">
      <c r="A186" s="10" t="s">
        <v>39</v>
      </c>
      <c r="B186" s="54">
        <v>100.0</v>
      </c>
      <c r="C186" s="158">
        <f t="shared" si="3"/>
        <v>86.95652174</v>
      </c>
      <c r="D186" s="14">
        <f t="shared" si="4"/>
        <v>82.81573499</v>
      </c>
    </row>
    <row r="187">
      <c r="A187" s="19" t="s">
        <v>41</v>
      </c>
      <c r="B187" s="58"/>
      <c r="C187" s="158">
        <f t="shared" si="3"/>
        <v>0</v>
      </c>
      <c r="D187" s="14">
        <f t="shared" si="4"/>
        <v>0</v>
      </c>
    </row>
    <row r="188">
      <c r="A188" s="10" t="s">
        <v>43</v>
      </c>
      <c r="B188" s="13">
        <v>1500.0</v>
      </c>
      <c r="C188" s="158">
        <f t="shared" si="3"/>
        <v>1304.347826</v>
      </c>
      <c r="D188" s="14">
        <f t="shared" si="4"/>
        <v>1242.236025</v>
      </c>
    </row>
    <row r="189">
      <c r="A189" s="59" t="s">
        <v>44</v>
      </c>
      <c r="B189" s="22">
        <v>14000.0</v>
      </c>
      <c r="C189" s="158">
        <f t="shared" si="3"/>
        <v>12173.91304</v>
      </c>
      <c r="D189" s="14">
        <f t="shared" si="4"/>
        <v>11594.2029</v>
      </c>
    </row>
    <row r="190">
      <c r="A190" s="61" t="s">
        <v>46</v>
      </c>
      <c r="B190" s="32">
        <v>8000.0</v>
      </c>
      <c r="C190" s="158">
        <f t="shared" si="3"/>
        <v>6956.521739</v>
      </c>
      <c r="D190" s="14">
        <f t="shared" si="4"/>
        <v>6625.258799</v>
      </c>
    </row>
    <row r="191">
      <c r="A191" s="10" t="s">
        <v>47</v>
      </c>
      <c r="B191" s="54">
        <v>500.0</v>
      </c>
      <c r="C191" s="158">
        <f t="shared" si="3"/>
        <v>434.7826087</v>
      </c>
      <c r="D191" s="14">
        <f t="shared" si="4"/>
        <v>414.0786749</v>
      </c>
    </row>
    <row r="192">
      <c r="A192" s="59" t="s">
        <v>49</v>
      </c>
      <c r="B192" s="22">
        <v>18500.0</v>
      </c>
      <c r="C192" s="159">
        <f t="shared" si="3"/>
        <v>16086.95652</v>
      </c>
      <c r="D192" s="43">
        <f t="shared" si="4"/>
        <v>15320.91097</v>
      </c>
    </row>
    <row r="193">
      <c r="A193" s="61" t="s">
        <v>51</v>
      </c>
      <c r="B193" s="160">
        <v>10000.0</v>
      </c>
      <c r="C193" s="161">
        <f t="shared" si="3"/>
        <v>8695.652174</v>
      </c>
      <c r="D193" s="30">
        <f t="shared" si="4"/>
        <v>8281.573499</v>
      </c>
    </row>
    <row r="194">
      <c r="A194" s="46" t="s">
        <v>52</v>
      </c>
      <c r="B194" s="13">
        <v>650.0</v>
      </c>
      <c r="C194" s="162">
        <f t="shared" si="3"/>
        <v>565.2173913</v>
      </c>
      <c r="D194" s="55">
        <f t="shared" si="4"/>
        <v>538.3022774</v>
      </c>
    </row>
    <row r="195">
      <c r="A195" s="68" t="s">
        <v>53</v>
      </c>
      <c r="B195" s="22">
        <v>11000.0</v>
      </c>
      <c r="C195" s="158">
        <f t="shared" si="3"/>
        <v>9565.217391</v>
      </c>
      <c r="D195" s="14">
        <f t="shared" si="4"/>
        <v>9109.730849</v>
      </c>
    </row>
    <row r="196">
      <c r="A196" s="68" t="s">
        <v>55</v>
      </c>
      <c r="B196" s="32">
        <v>6500.0</v>
      </c>
      <c r="C196" s="158">
        <f t="shared" si="3"/>
        <v>5652.173913</v>
      </c>
      <c r="D196" s="14">
        <f t="shared" si="4"/>
        <v>5383.022774</v>
      </c>
    </row>
    <row r="197">
      <c r="A197" s="69" t="s">
        <v>56</v>
      </c>
      <c r="B197" s="13">
        <v>450.0</v>
      </c>
      <c r="C197" s="158">
        <f t="shared" si="3"/>
        <v>391.3043478</v>
      </c>
      <c r="D197" s="14">
        <f t="shared" si="4"/>
        <v>372.6708075</v>
      </c>
    </row>
    <row r="198">
      <c r="A198" s="19" t="s">
        <v>58</v>
      </c>
      <c r="B198" s="22">
        <v>22000.0</v>
      </c>
      <c r="C198" s="158">
        <f t="shared" si="3"/>
        <v>19130.43478</v>
      </c>
      <c r="D198" s="14">
        <f t="shared" si="4"/>
        <v>18219.4617</v>
      </c>
    </row>
    <row r="199">
      <c r="A199" s="19" t="s">
        <v>60</v>
      </c>
      <c r="B199" s="32">
        <v>11500.0</v>
      </c>
      <c r="C199" s="158">
        <f t="shared" si="3"/>
        <v>10000</v>
      </c>
      <c r="D199" s="14">
        <f t="shared" si="4"/>
        <v>9523.809524</v>
      </c>
    </row>
    <row r="200">
      <c r="A200" s="10" t="s">
        <v>61</v>
      </c>
      <c r="B200" s="13">
        <v>800.0</v>
      </c>
      <c r="C200" s="158">
        <f t="shared" si="3"/>
        <v>695.6521739</v>
      </c>
      <c r="D200" s="14">
        <f t="shared" si="4"/>
        <v>662.5258799</v>
      </c>
    </row>
    <row r="201">
      <c r="A201" s="39" t="s">
        <v>63</v>
      </c>
      <c r="B201" s="81">
        <v>120000.0</v>
      </c>
      <c r="C201" s="158">
        <f t="shared" si="3"/>
        <v>104347.8261</v>
      </c>
      <c r="D201" s="14">
        <f t="shared" si="4"/>
        <v>99378.88199</v>
      </c>
    </row>
    <row r="202">
      <c r="A202" s="61" t="s">
        <v>65</v>
      </c>
      <c r="B202" s="32">
        <v>70000.0</v>
      </c>
      <c r="C202" s="158">
        <f t="shared" si="3"/>
        <v>60869.56522</v>
      </c>
      <c r="D202" s="14">
        <f t="shared" si="4"/>
        <v>57971.01449</v>
      </c>
    </row>
    <row r="203">
      <c r="A203" s="51" t="s">
        <v>66</v>
      </c>
      <c r="B203" s="54">
        <v>4500.0</v>
      </c>
      <c r="C203" s="158">
        <f t="shared" si="3"/>
        <v>3913.043478</v>
      </c>
      <c r="D203" s="14">
        <f t="shared" si="4"/>
        <v>3726.708075</v>
      </c>
    </row>
    <row r="204">
      <c r="A204" s="84" t="s">
        <v>67</v>
      </c>
      <c r="B204" s="81">
        <v>9500.0</v>
      </c>
      <c r="C204" s="158">
        <f t="shared" si="3"/>
        <v>8260.869565</v>
      </c>
      <c r="D204" s="14">
        <f t="shared" si="4"/>
        <v>7867.494824</v>
      </c>
    </row>
    <row r="205">
      <c r="A205" s="61" t="s">
        <v>69</v>
      </c>
      <c r="B205" s="32">
        <v>5500.0</v>
      </c>
      <c r="C205" s="158">
        <f t="shared" si="3"/>
        <v>4782.608696</v>
      </c>
      <c r="D205" s="14">
        <f t="shared" si="4"/>
        <v>4554.865424</v>
      </c>
    </row>
    <row r="206">
      <c r="A206" s="51" t="s">
        <v>70</v>
      </c>
      <c r="B206" s="54">
        <v>400.0</v>
      </c>
      <c r="C206" s="158">
        <f t="shared" si="3"/>
        <v>347.826087</v>
      </c>
      <c r="D206" s="14">
        <f t="shared" si="4"/>
        <v>331.26294</v>
      </c>
    </row>
    <row r="207">
      <c r="A207" s="84" t="s">
        <v>71</v>
      </c>
      <c r="B207" s="81">
        <v>15000.0</v>
      </c>
      <c r="C207" s="158">
        <f t="shared" si="3"/>
        <v>13043.47826</v>
      </c>
      <c r="D207" s="14">
        <f t="shared" si="4"/>
        <v>12422.36025</v>
      </c>
    </row>
    <row r="208">
      <c r="A208" s="61" t="s">
        <v>73</v>
      </c>
      <c r="B208" s="32">
        <v>8000.0</v>
      </c>
      <c r="C208" s="158">
        <f t="shared" si="3"/>
        <v>6956.521739</v>
      </c>
      <c r="D208" s="14">
        <f t="shared" si="4"/>
        <v>6625.258799</v>
      </c>
    </row>
    <row r="209">
      <c r="A209" s="10" t="s">
        <v>74</v>
      </c>
      <c r="B209" s="54">
        <v>600.0</v>
      </c>
      <c r="C209" s="158">
        <f t="shared" si="3"/>
        <v>521.7391304</v>
      </c>
      <c r="D209" s="14">
        <f t="shared" si="4"/>
        <v>496.8944099</v>
      </c>
    </row>
    <row r="210">
      <c r="A210" s="19" t="s">
        <v>75</v>
      </c>
      <c r="B210" s="22">
        <v>16000.0</v>
      </c>
      <c r="C210" s="158">
        <f t="shared" si="3"/>
        <v>13913.04348</v>
      </c>
      <c r="D210" s="14">
        <f t="shared" si="4"/>
        <v>13250.5176</v>
      </c>
    </row>
    <row r="211">
      <c r="A211" s="19" t="s">
        <v>77</v>
      </c>
      <c r="B211" s="32">
        <v>9000.0</v>
      </c>
      <c r="C211" s="158">
        <f t="shared" si="3"/>
        <v>7826.086957</v>
      </c>
      <c r="D211" s="14">
        <f t="shared" si="4"/>
        <v>7453.416149</v>
      </c>
    </row>
    <row r="212">
      <c r="A212" s="10" t="s">
        <v>78</v>
      </c>
      <c r="B212" s="13">
        <v>500.0</v>
      </c>
      <c r="C212" s="158">
        <f t="shared" si="3"/>
        <v>434.7826087</v>
      </c>
      <c r="D212" s="14">
        <f t="shared" si="4"/>
        <v>414.0786749</v>
      </c>
    </row>
    <row r="213">
      <c r="A213" s="19" t="s">
        <v>79</v>
      </c>
      <c r="B213" s="22">
        <v>17500.0</v>
      </c>
      <c r="C213" s="158">
        <f t="shared" si="3"/>
        <v>15217.3913</v>
      </c>
      <c r="D213" s="14">
        <f t="shared" si="4"/>
        <v>14492.75362</v>
      </c>
    </row>
    <row r="214">
      <c r="A214" s="19" t="s">
        <v>81</v>
      </c>
      <c r="B214" s="32">
        <v>9500.0</v>
      </c>
      <c r="C214" s="158">
        <f t="shared" si="3"/>
        <v>8260.869565</v>
      </c>
      <c r="D214" s="14">
        <f t="shared" si="4"/>
        <v>7867.494824</v>
      </c>
    </row>
    <row r="215">
      <c r="A215" s="10" t="s">
        <v>82</v>
      </c>
      <c r="B215" s="13">
        <v>750.0</v>
      </c>
      <c r="C215" s="158">
        <f t="shared" si="3"/>
        <v>652.173913</v>
      </c>
      <c r="D215" s="14">
        <f t="shared" si="4"/>
        <v>621.1180124</v>
      </c>
    </row>
    <row r="216">
      <c r="A216" s="39" t="s">
        <v>83</v>
      </c>
      <c r="B216" s="22">
        <v>16500.0</v>
      </c>
      <c r="C216" s="158">
        <f t="shared" si="3"/>
        <v>14347.82609</v>
      </c>
      <c r="D216" s="14">
        <f t="shared" si="4"/>
        <v>13664.59627</v>
      </c>
    </row>
    <row r="217">
      <c r="A217" s="61" t="s">
        <v>85</v>
      </c>
      <c r="B217" s="81">
        <v>9500.0</v>
      </c>
      <c r="C217" s="158">
        <f t="shared" si="3"/>
        <v>8260.869565</v>
      </c>
      <c r="D217" s="14">
        <f t="shared" si="4"/>
        <v>7867.494824</v>
      </c>
    </row>
    <row r="218">
      <c r="A218" s="10" t="s">
        <v>86</v>
      </c>
      <c r="B218" s="13">
        <v>550.0</v>
      </c>
      <c r="C218" s="158">
        <f t="shared" si="3"/>
        <v>478.2608696</v>
      </c>
      <c r="D218" s="14">
        <f t="shared" si="4"/>
        <v>455.4865424</v>
      </c>
    </row>
    <row r="219">
      <c r="A219" s="10" t="s">
        <v>88</v>
      </c>
      <c r="B219" s="54">
        <v>45000.0</v>
      </c>
      <c r="C219" s="158">
        <f t="shared" si="3"/>
        <v>39130.43478</v>
      </c>
      <c r="D219" s="14">
        <f t="shared" si="4"/>
        <v>37267.08075</v>
      </c>
    </row>
    <row r="220">
      <c r="A220" s="80" t="s">
        <v>90</v>
      </c>
      <c r="B220" s="54">
        <v>6000.0</v>
      </c>
      <c r="C220" s="158">
        <f t="shared" si="3"/>
        <v>5217.391304</v>
      </c>
      <c r="D220" s="14">
        <f t="shared" si="4"/>
        <v>4968.944099</v>
      </c>
    </row>
    <row r="221">
      <c r="A221" s="19" t="s">
        <v>91</v>
      </c>
      <c r="B221" s="22">
        <v>21500.0</v>
      </c>
      <c r="C221" s="158">
        <f t="shared" si="3"/>
        <v>18695.65217</v>
      </c>
      <c r="D221" s="14">
        <f t="shared" si="4"/>
        <v>17805.38302</v>
      </c>
    </row>
    <row r="222">
      <c r="A222" s="19" t="s">
        <v>93</v>
      </c>
      <c r="B222" s="32">
        <v>11500.0</v>
      </c>
      <c r="C222" s="158">
        <f t="shared" si="3"/>
        <v>10000</v>
      </c>
      <c r="D222" s="14">
        <f t="shared" si="4"/>
        <v>9523.809524</v>
      </c>
    </row>
    <row r="223">
      <c r="A223" s="10" t="s">
        <v>94</v>
      </c>
      <c r="B223" s="13">
        <v>700.0</v>
      </c>
      <c r="C223" s="158">
        <f t="shared" si="3"/>
        <v>608.6956522</v>
      </c>
      <c r="D223" s="14">
        <f t="shared" si="4"/>
        <v>579.7101449</v>
      </c>
    </row>
    <row r="224">
      <c r="A224" s="84" t="s">
        <v>95</v>
      </c>
      <c r="B224" s="81">
        <v>36000.0</v>
      </c>
      <c r="C224" s="158">
        <f t="shared" si="3"/>
        <v>31304.34783</v>
      </c>
      <c r="D224" s="14">
        <f t="shared" si="4"/>
        <v>29813.6646</v>
      </c>
    </row>
    <row r="225">
      <c r="A225" s="61" t="s">
        <v>97</v>
      </c>
      <c r="B225" s="32">
        <v>18000.0</v>
      </c>
      <c r="C225" s="158">
        <f t="shared" si="3"/>
        <v>15652.17391</v>
      </c>
      <c r="D225" s="14">
        <f t="shared" si="4"/>
        <v>14906.8323</v>
      </c>
    </row>
    <row r="226">
      <c r="A226" s="51" t="s">
        <v>98</v>
      </c>
      <c r="B226" s="54">
        <v>1200.0</v>
      </c>
      <c r="C226" s="158">
        <f t="shared" si="3"/>
        <v>1043.478261</v>
      </c>
      <c r="D226" s="14">
        <f t="shared" si="4"/>
        <v>993.7888199</v>
      </c>
    </row>
    <row r="227">
      <c r="A227" s="84" t="s">
        <v>99</v>
      </c>
      <c r="B227" s="81">
        <v>26500.0</v>
      </c>
      <c r="C227" s="158">
        <f t="shared" si="3"/>
        <v>23043.47826</v>
      </c>
      <c r="D227" s="14">
        <f t="shared" si="4"/>
        <v>21946.16977</v>
      </c>
    </row>
    <row r="228">
      <c r="A228" s="61" t="s">
        <v>101</v>
      </c>
      <c r="B228" s="32">
        <v>14000.0</v>
      </c>
      <c r="C228" s="158">
        <f t="shared" si="3"/>
        <v>12173.91304</v>
      </c>
      <c r="D228" s="14">
        <f t="shared" si="4"/>
        <v>11594.2029</v>
      </c>
    </row>
    <row r="229">
      <c r="A229" s="51" t="s">
        <v>102</v>
      </c>
      <c r="B229" s="54">
        <v>1200.0</v>
      </c>
      <c r="C229" s="158">
        <f t="shared" si="3"/>
        <v>1043.478261</v>
      </c>
      <c r="D229" s="14">
        <f t="shared" si="4"/>
        <v>993.7888199</v>
      </c>
    </row>
    <row r="230">
      <c r="A230" s="84" t="s">
        <v>103</v>
      </c>
      <c r="B230" s="81">
        <v>30000.0</v>
      </c>
      <c r="C230" s="158">
        <f t="shared" si="3"/>
        <v>26086.95652</v>
      </c>
      <c r="D230" s="14">
        <f t="shared" si="4"/>
        <v>24844.7205</v>
      </c>
    </row>
    <row r="231">
      <c r="A231" s="61" t="s">
        <v>105</v>
      </c>
      <c r="B231" s="32">
        <v>17000.0</v>
      </c>
      <c r="C231" s="158">
        <f t="shared" si="3"/>
        <v>14782.6087</v>
      </c>
      <c r="D231" s="14">
        <f t="shared" si="4"/>
        <v>14078.67495</v>
      </c>
    </row>
    <row r="232">
      <c r="A232" s="51" t="s">
        <v>106</v>
      </c>
      <c r="B232" s="54">
        <v>1500.0</v>
      </c>
      <c r="C232" s="158">
        <f t="shared" si="3"/>
        <v>1304.347826</v>
      </c>
      <c r="D232" s="14">
        <f t="shared" si="4"/>
        <v>1242.236025</v>
      </c>
    </row>
    <row r="233">
      <c r="A233" s="84" t="s">
        <v>107</v>
      </c>
      <c r="B233" s="81">
        <v>15000.0</v>
      </c>
      <c r="C233" s="158">
        <f t="shared" si="3"/>
        <v>13043.47826</v>
      </c>
      <c r="D233" s="14">
        <f t="shared" si="4"/>
        <v>12422.36025</v>
      </c>
    </row>
    <row r="234">
      <c r="A234" s="61" t="s">
        <v>109</v>
      </c>
      <c r="B234" s="32">
        <v>8000.0</v>
      </c>
      <c r="C234" s="158">
        <f t="shared" si="3"/>
        <v>6956.521739</v>
      </c>
      <c r="D234" s="14">
        <f t="shared" si="4"/>
        <v>6625.258799</v>
      </c>
    </row>
    <row r="235">
      <c r="A235" s="51" t="s">
        <v>110</v>
      </c>
      <c r="B235" s="54">
        <v>500.0</v>
      </c>
      <c r="C235" s="158">
        <f t="shared" si="3"/>
        <v>434.7826087</v>
      </c>
      <c r="D235" s="14">
        <f t="shared" si="4"/>
        <v>414.0786749</v>
      </c>
    </row>
    <row r="236">
      <c r="A236" s="19" t="s">
        <v>115</v>
      </c>
      <c r="B236" s="22">
        <v>45000.0</v>
      </c>
      <c r="C236" s="158">
        <f t="shared" si="3"/>
        <v>39130.43478</v>
      </c>
      <c r="D236" s="14">
        <f t="shared" si="4"/>
        <v>37267.08075</v>
      </c>
    </row>
    <row r="237">
      <c r="A237" s="19" t="s">
        <v>117</v>
      </c>
      <c r="B237" s="32">
        <v>24000.0</v>
      </c>
      <c r="C237" s="158">
        <f t="shared" si="3"/>
        <v>20869.56522</v>
      </c>
      <c r="D237" s="14">
        <f t="shared" si="4"/>
        <v>19875.7764</v>
      </c>
    </row>
    <row r="238">
      <c r="A238" s="10" t="s">
        <v>118</v>
      </c>
      <c r="B238" s="13">
        <v>1500.0</v>
      </c>
      <c r="C238" s="158">
        <f t="shared" si="3"/>
        <v>1304.347826</v>
      </c>
      <c r="D238" s="14">
        <f t="shared" si="4"/>
        <v>1242.236025</v>
      </c>
    </row>
    <row r="239">
      <c r="A239" s="59" t="s">
        <v>119</v>
      </c>
      <c r="B239" s="22">
        <v>25000.0</v>
      </c>
      <c r="C239" s="158">
        <f t="shared" si="3"/>
        <v>21739.13043</v>
      </c>
      <c r="D239" s="14">
        <f t="shared" si="4"/>
        <v>20703.93375</v>
      </c>
    </row>
    <row r="240">
      <c r="A240" s="61" t="s">
        <v>121</v>
      </c>
      <c r="B240" s="32">
        <v>14000.0</v>
      </c>
      <c r="C240" s="158">
        <f t="shared" si="3"/>
        <v>12173.91304</v>
      </c>
      <c r="D240" s="14">
        <f t="shared" si="4"/>
        <v>11594.2029</v>
      </c>
    </row>
    <row r="241">
      <c r="A241" s="46" t="s">
        <v>122</v>
      </c>
      <c r="B241" s="13">
        <v>1200.0</v>
      </c>
      <c r="C241" s="158">
        <f t="shared" si="3"/>
        <v>1043.478261</v>
      </c>
      <c r="D241" s="14">
        <f t="shared" si="4"/>
        <v>993.7888199</v>
      </c>
    </row>
    <row r="242">
      <c r="A242" s="19" t="s">
        <v>123</v>
      </c>
      <c r="B242" s="22">
        <v>16000.0</v>
      </c>
      <c r="C242" s="158">
        <f t="shared" si="3"/>
        <v>13913.04348</v>
      </c>
      <c r="D242" s="14">
        <f t="shared" si="4"/>
        <v>13250.5176</v>
      </c>
    </row>
    <row r="243">
      <c r="A243" s="19" t="s">
        <v>125</v>
      </c>
      <c r="B243" s="32">
        <v>8500.0</v>
      </c>
      <c r="C243" s="158">
        <f t="shared" si="3"/>
        <v>7391.304348</v>
      </c>
      <c r="D243" s="14">
        <f t="shared" si="4"/>
        <v>7039.337474</v>
      </c>
    </row>
    <row r="244">
      <c r="A244" s="10" t="s">
        <v>126</v>
      </c>
      <c r="B244" s="13">
        <v>600.0</v>
      </c>
      <c r="C244" s="158">
        <f t="shared" si="3"/>
        <v>521.7391304</v>
      </c>
      <c r="D244" s="14">
        <f t="shared" si="4"/>
        <v>496.8944099</v>
      </c>
    </row>
    <row r="245">
      <c r="A245" s="84" t="s">
        <v>127</v>
      </c>
      <c r="B245" s="81">
        <v>12000.0</v>
      </c>
      <c r="C245" s="158">
        <f t="shared" si="3"/>
        <v>10434.78261</v>
      </c>
      <c r="D245" s="14">
        <f t="shared" si="4"/>
        <v>9937.888199</v>
      </c>
    </row>
    <row r="246">
      <c r="A246" s="61" t="s">
        <v>129</v>
      </c>
      <c r="B246" s="32">
        <v>6500.0</v>
      </c>
      <c r="C246" s="158">
        <f t="shared" si="3"/>
        <v>5652.173913</v>
      </c>
      <c r="D246" s="14">
        <f t="shared" si="4"/>
        <v>5383.022774</v>
      </c>
    </row>
    <row r="247">
      <c r="A247" s="51" t="s">
        <v>130</v>
      </c>
      <c r="B247" s="54">
        <v>400.0</v>
      </c>
      <c r="C247" s="158">
        <f t="shared" si="3"/>
        <v>347.826087</v>
      </c>
      <c r="D247" s="14">
        <f t="shared" si="4"/>
        <v>331.26294</v>
      </c>
    </row>
    <row r="248">
      <c r="A248" s="10" t="s">
        <v>131</v>
      </c>
      <c r="B248" s="54">
        <v>200.0</v>
      </c>
      <c r="C248" s="158">
        <f t="shared" si="3"/>
        <v>173.9130435</v>
      </c>
      <c r="D248" s="14">
        <f t="shared" si="4"/>
        <v>165.63147</v>
      </c>
    </row>
    <row r="249">
      <c r="A249" s="19" t="s">
        <v>132</v>
      </c>
      <c r="B249" s="22">
        <v>14000.0</v>
      </c>
      <c r="C249" s="158">
        <f t="shared" si="3"/>
        <v>12173.91304</v>
      </c>
      <c r="D249" s="14">
        <f t="shared" si="4"/>
        <v>11594.2029</v>
      </c>
    </row>
    <row r="250">
      <c r="A250" s="19" t="s">
        <v>134</v>
      </c>
      <c r="B250" s="32">
        <v>7500.0</v>
      </c>
      <c r="C250" s="158">
        <f t="shared" si="3"/>
        <v>6521.73913</v>
      </c>
      <c r="D250" s="14">
        <f t="shared" si="4"/>
        <v>6211.180124</v>
      </c>
    </row>
    <row r="251">
      <c r="A251" s="10" t="s">
        <v>135</v>
      </c>
      <c r="B251" s="13">
        <v>500.0</v>
      </c>
      <c r="C251" s="158">
        <f t="shared" si="3"/>
        <v>434.7826087</v>
      </c>
      <c r="D251" s="14">
        <f t="shared" si="4"/>
        <v>414.0786749</v>
      </c>
    </row>
    <row r="252">
      <c r="A252" s="19" t="s">
        <v>136</v>
      </c>
      <c r="B252" s="22">
        <v>6000.0</v>
      </c>
      <c r="C252" s="158">
        <f t="shared" si="3"/>
        <v>5217.391304</v>
      </c>
      <c r="D252" s="14">
        <f t="shared" si="4"/>
        <v>4968.944099</v>
      </c>
    </row>
    <row r="253">
      <c r="A253" s="19" t="s">
        <v>138</v>
      </c>
      <c r="B253" s="32">
        <v>3500.0</v>
      </c>
      <c r="C253" s="158">
        <f t="shared" si="3"/>
        <v>3043.478261</v>
      </c>
      <c r="D253" s="14">
        <f t="shared" si="4"/>
        <v>2898.550725</v>
      </c>
    </row>
    <row r="254">
      <c r="A254" s="10" t="s">
        <v>139</v>
      </c>
      <c r="B254" s="13">
        <v>300.0</v>
      </c>
      <c r="C254" s="158">
        <f t="shared" si="3"/>
        <v>260.8695652</v>
      </c>
      <c r="D254" s="14">
        <f t="shared" si="4"/>
        <v>248.447205</v>
      </c>
    </row>
    <row r="255">
      <c r="A255" s="94" t="s">
        <v>140</v>
      </c>
      <c r="B255" s="22">
        <v>8500.0</v>
      </c>
      <c r="C255" s="158">
        <f t="shared" si="3"/>
        <v>7391.304348</v>
      </c>
      <c r="D255" s="14">
        <f t="shared" si="4"/>
        <v>7039.337474</v>
      </c>
    </row>
    <row r="256">
      <c r="A256" s="94" t="s">
        <v>142</v>
      </c>
      <c r="B256" s="32">
        <v>4500.0</v>
      </c>
      <c r="C256" s="158">
        <f t="shared" si="3"/>
        <v>3913.043478</v>
      </c>
      <c r="D256" s="14">
        <f t="shared" si="4"/>
        <v>3726.708075</v>
      </c>
    </row>
    <row r="257">
      <c r="A257" s="80" t="s">
        <v>143</v>
      </c>
      <c r="B257" s="13">
        <v>400.0</v>
      </c>
      <c r="C257" s="158">
        <f t="shared" si="3"/>
        <v>347.826087</v>
      </c>
      <c r="D257" s="14">
        <f t="shared" si="4"/>
        <v>331.26294</v>
      </c>
    </row>
    <row r="258">
      <c r="A258" s="10" t="s">
        <v>144</v>
      </c>
      <c r="B258" s="54">
        <v>200.0</v>
      </c>
      <c r="C258" s="158">
        <f t="shared" si="3"/>
        <v>173.9130435</v>
      </c>
      <c r="D258" s="14">
        <f t="shared" si="4"/>
        <v>165.63147</v>
      </c>
    </row>
    <row r="259">
      <c r="A259" s="84" t="s">
        <v>145</v>
      </c>
      <c r="B259" s="81">
        <v>46000.0</v>
      </c>
      <c r="C259" s="158">
        <f t="shared" si="3"/>
        <v>40000</v>
      </c>
      <c r="D259" s="14">
        <f t="shared" si="4"/>
        <v>38095.2381</v>
      </c>
    </row>
    <row r="260">
      <c r="A260" s="61" t="s">
        <v>147</v>
      </c>
      <c r="B260" s="32">
        <v>23500.0</v>
      </c>
      <c r="C260" s="158">
        <f t="shared" si="3"/>
        <v>20434.78261</v>
      </c>
      <c r="D260" s="14">
        <f t="shared" si="4"/>
        <v>19461.69772</v>
      </c>
    </row>
    <row r="261">
      <c r="A261" s="51" t="s">
        <v>148</v>
      </c>
      <c r="B261" s="54">
        <v>1600.0</v>
      </c>
      <c r="C261" s="158">
        <f t="shared" si="3"/>
        <v>1391.304348</v>
      </c>
      <c r="D261" s="14">
        <f t="shared" si="4"/>
        <v>1325.05176</v>
      </c>
    </row>
    <row r="262">
      <c r="A262" s="19" t="s">
        <v>149</v>
      </c>
      <c r="B262" s="22">
        <v>20000.0</v>
      </c>
      <c r="C262" s="158">
        <f t="shared" si="3"/>
        <v>17391.30435</v>
      </c>
      <c r="D262" s="14">
        <f t="shared" si="4"/>
        <v>16563.147</v>
      </c>
    </row>
    <row r="263">
      <c r="A263" s="19" t="s">
        <v>151</v>
      </c>
      <c r="B263" s="32">
        <v>10500.0</v>
      </c>
      <c r="C263" s="158">
        <f t="shared" si="3"/>
        <v>9130.434783</v>
      </c>
      <c r="D263" s="14">
        <f t="shared" si="4"/>
        <v>8695.652174</v>
      </c>
    </row>
    <row r="264">
      <c r="A264" s="10" t="s">
        <v>152</v>
      </c>
      <c r="B264" s="13">
        <v>700.0</v>
      </c>
      <c r="C264" s="158">
        <f t="shared" si="3"/>
        <v>608.6956522</v>
      </c>
      <c r="D264" s="14">
        <f t="shared" si="4"/>
        <v>579.7101449</v>
      </c>
    </row>
    <row r="265">
      <c r="A265" s="59" t="s">
        <v>154</v>
      </c>
      <c r="B265" s="22">
        <v>20000.0</v>
      </c>
      <c r="C265" s="158">
        <f t="shared" si="3"/>
        <v>17391.30435</v>
      </c>
      <c r="D265" s="14">
        <f t="shared" si="4"/>
        <v>16563.147</v>
      </c>
    </row>
    <row r="266">
      <c r="A266" s="59" t="s">
        <v>154</v>
      </c>
      <c r="B266" s="32">
        <v>10500.0</v>
      </c>
      <c r="C266" s="158">
        <f t="shared" si="3"/>
        <v>9130.434783</v>
      </c>
      <c r="D266" s="14">
        <f t="shared" si="4"/>
        <v>8695.652174</v>
      </c>
    </row>
    <row r="267">
      <c r="A267" s="105" t="s">
        <v>328</v>
      </c>
      <c r="B267" s="13">
        <v>700.0</v>
      </c>
      <c r="C267" s="158">
        <f t="shared" si="3"/>
        <v>608.6956522</v>
      </c>
      <c r="D267" s="14">
        <f t="shared" si="4"/>
        <v>579.7101449</v>
      </c>
    </row>
    <row r="268">
      <c r="A268" s="19" t="s">
        <v>157</v>
      </c>
      <c r="B268" s="22">
        <v>14000.0</v>
      </c>
      <c r="C268" s="158">
        <f t="shared" si="3"/>
        <v>12173.91304</v>
      </c>
      <c r="D268" s="14">
        <f t="shared" si="4"/>
        <v>11594.2029</v>
      </c>
    </row>
    <row r="269">
      <c r="A269" s="19" t="s">
        <v>159</v>
      </c>
      <c r="B269" s="32">
        <v>7500.0</v>
      </c>
      <c r="C269" s="158">
        <f t="shared" si="3"/>
        <v>6521.73913</v>
      </c>
      <c r="D269" s="14">
        <f t="shared" si="4"/>
        <v>6211.180124</v>
      </c>
    </row>
    <row r="270">
      <c r="A270" s="10" t="s">
        <v>160</v>
      </c>
      <c r="B270" s="13">
        <v>500.0</v>
      </c>
      <c r="C270" s="158">
        <f t="shared" si="3"/>
        <v>434.7826087</v>
      </c>
      <c r="D270" s="14">
        <f t="shared" si="4"/>
        <v>414.0786749</v>
      </c>
    </row>
    <row r="271">
      <c r="A271" s="110" t="s">
        <v>161</v>
      </c>
      <c r="B271" s="22">
        <v>18000.0</v>
      </c>
      <c r="C271" s="158">
        <f t="shared" si="3"/>
        <v>15652.17391</v>
      </c>
      <c r="D271" s="14">
        <f t="shared" si="4"/>
        <v>14906.8323</v>
      </c>
    </row>
    <row r="272">
      <c r="A272" s="19" t="s">
        <v>163</v>
      </c>
      <c r="B272" s="32">
        <v>9500.0</v>
      </c>
      <c r="C272" s="158">
        <f t="shared" si="3"/>
        <v>8260.869565</v>
      </c>
      <c r="D272" s="14">
        <f t="shared" si="4"/>
        <v>7867.494824</v>
      </c>
    </row>
    <row r="273">
      <c r="A273" s="10" t="s">
        <v>164</v>
      </c>
      <c r="B273" s="13">
        <v>600.0</v>
      </c>
      <c r="C273" s="158">
        <f t="shared" si="3"/>
        <v>521.7391304</v>
      </c>
      <c r="D273" s="14">
        <f t="shared" si="4"/>
        <v>496.8944099</v>
      </c>
    </row>
    <row r="274">
      <c r="A274" s="19" t="s">
        <v>165</v>
      </c>
      <c r="B274" s="22">
        <v>21000.0</v>
      </c>
      <c r="C274" s="158">
        <f t="shared" si="3"/>
        <v>18260.86957</v>
      </c>
      <c r="D274" s="14">
        <f t="shared" si="4"/>
        <v>17391.30435</v>
      </c>
    </row>
    <row r="275">
      <c r="A275" s="19" t="s">
        <v>167</v>
      </c>
      <c r="B275" s="32">
        <v>11500.0</v>
      </c>
      <c r="C275" s="158">
        <f t="shared" si="3"/>
        <v>10000</v>
      </c>
      <c r="D275" s="14">
        <f t="shared" si="4"/>
        <v>9523.809524</v>
      </c>
    </row>
    <row r="276">
      <c r="A276" s="10" t="s">
        <v>168</v>
      </c>
      <c r="B276" s="13">
        <v>700.0</v>
      </c>
      <c r="C276" s="158">
        <f t="shared" si="3"/>
        <v>608.6956522</v>
      </c>
      <c r="D276" s="14">
        <f t="shared" si="4"/>
        <v>579.7101449</v>
      </c>
    </row>
    <row r="277">
      <c r="A277" s="84" t="s">
        <v>169</v>
      </c>
      <c r="B277" s="81">
        <v>14500.0</v>
      </c>
      <c r="C277" s="158">
        <f t="shared" si="3"/>
        <v>12608.69565</v>
      </c>
      <c r="D277" s="14">
        <f t="shared" si="4"/>
        <v>12008.28157</v>
      </c>
    </row>
    <row r="278">
      <c r="A278" s="61" t="s">
        <v>171</v>
      </c>
      <c r="B278" s="32">
        <v>7700.0</v>
      </c>
      <c r="C278" s="158">
        <f t="shared" si="3"/>
        <v>6695.652174</v>
      </c>
      <c r="D278" s="14">
        <f t="shared" si="4"/>
        <v>6376.811594</v>
      </c>
    </row>
    <row r="279">
      <c r="A279" s="51" t="s">
        <v>172</v>
      </c>
      <c r="B279" s="54">
        <v>550.0</v>
      </c>
      <c r="C279" s="158">
        <f t="shared" si="3"/>
        <v>478.2608696</v>
      </c>
      <c r="D279" s="14">
        <f t="shared" si="4"/>
        <v>455.4865424</v>
      </c>
    </row>
    <row r="280">
      <c r="A280" s="80" t="s">
        <v>173</v>
      </c>
      <c r="B280" s="54">
        <v>200.0</v>
      </c>
      <c r="C280" s="158">
        <f t="shared" si="3"/>
        <v>173.9130435</v>
      </c>
      <c r="D280" s="14">
        <f t="shared" si="4"/>
        <v>165.63147</v>
      </c>
    </row>
    <row r="281">
      <c r="A281" s="19" t="s">
        <v>177</v>
      </c>
      <c r="B281" s="22">
        <v>9000.0</v>
      </c>
      <c r="C281" s="158">
        <f t="shared" si="3"/>
        <v>7826.086957</v>
      </c>
      <c r="D281" s="14">
        <f t="shared" si="4"/>
        <v>7453.416149</v>
      </c>
    </row>
    <row r="282">
      <c r="A282" s="19" t="s">
        <v>179</v>
      </c>
      <c r="B282" s="32">
        <v>5000.0</v>
      </c>
      <c r="C282" s="158">
        <f t="shared" si="3"/>
        <v>4347.826087</v>
      </c>
      <c r="D282" s="14">
        <f t="shared" si="4"/>
        <v>4140.786749</v>
      </c>
    </row>
    <row r="283">
      <c r="A283" s="10" t="s">
        <v>180</v>
      </c>
      <c r="B283" s="13">
        <v>300.0</v>
      </c>
      <c r="C283" s="158">
        <f t="shared" si="3"/>
        <v>260.8695652</v>
      </c>
      <c r="D283" s="14">
        <f t="shared" si="4"/>
        <v>248.447205</v>
      </c>
    </row>
    <row r="284">
      <c r="A284" s="94" t="s">
        <v>181</v>
      </c>
      <c r="B284" s="22">
        <v>10000.0</v>
      </c>
      <c r="C284" s="158">
        <f t="shared" si="3"/>
        <v>8695.652174</v>
      </c>
      <c r="D284" s="14">
        <f t="shared" si="4"/>
        <v>8281.573499</v>
      </c>
    </row>
    <row r="285">
      <c r="A285" s="94" t="s">
        <v>183</v>
      </c>
      <c r="B285" s="32">
        <v>5500.0</v>
      </c>
      <c r="C285" s="158">
        <f t="shared" si="3"/>
        <v>4782.608696</v>
      </c>
      <c r="D285" s="14">
        <f t="shared" si="4"/>
        <v>4554.865424</v>
      </c>
    </row>
    <row r="286">
      <c r="A286" s="80" t="s">
        <v>185</v>
      </c>
      <c r="B286" s="13">
        <v>350.0</v>
      </c>
      <c r="C286" s="158">
        <f t="shared" si="3"/>
        <v>304.3478261</v>
      </c>
      <c r="D286" s="14">
        <f t="shared" si="4"/>
        <v>289.8550725</v>
      </c>
    </row>
    <row r="287">
      <c r="A287" s="19" t="s">
        <v>186</v>
      </c>
      <c r="B287" s="22">
        <v>18000.0</v>
      </c>
      <c r="C287" s="158">
        <f t="shared" si="3"/>
        <v>15652.17391</v>
      </c>
      <c r="D287" s="14">
        <f t="shared" si="4"/>
        <v>14906.8323</v>
      </c>
    </row>
    <row r="288">
      <c r="A288" s="10" t="s">
        <v>188</v>
      </c>
      <c r="B288" s="13">
        <v>700.0</v>
      </c>
      <c r="C288" s="158">
        <f t="shared" si="3"/>
        <v>608.6956522</v>
      </c>
      <c r="D288" s="14">
        <f t="shared" si="4"/>
        <v>579.7101449</v>
      </c>
    </row>
    <row r="289">
      <c r="A289" s="19" t="s">
        <v>190</v>
      </c>
      <c r="B289" s="22">
        <v>27000.0</v>
      </c>
      <c r="C289" s="158">
        <f t="shared" si="3"/>
        <v>23478.26087</v>
      </c>
      <c r="D289" s="14">
        <f t="shared" si="4"/>
        <v>22360.24845</v>
      </c>
    </row>
    <row r="290">
      <c r="A290" s="19" t="s">
        <v>192</v>
      </c>
      <c r="B290" s="32">
        <v>14000.0</v>
      </c>
      <c r="C290" s="158">
        <f t="shared" si="3"/>
        <v>12173.91304</v>
      </c>
      <c r="D290" s="14">
        <f t="shared" si="4"/>
        <v>11594.2029</v>
      </c>
    </row>
    <row r="291">
      <c r="A291" s="10" t="s">
        <v>193</v>
      </c>
      <c r="B291" s="13">
        <v>950.0</v>
      </c>
      <c r="C291" s="158">
        <f t="shared" si="3"/>
        <v>826.0869565</v>
      </c>
      <c r="D291" s="14">
        <f t="shared" si="4"/>
        <v>786.7494824</v>
      </c>
    </row>
    <row r="292">
      <c r="A292" s="19" t="s">
        <v>194</v>
      </c>
      <c r="B292" s="22">
        <v>13000.0</v>
      </c>
      <c r="C292" s="158">
        <f t="shared" si="3"/>
        <v>11304.34783</v>
      </c>
      <c r="D292" s="14">
        <f t="shared" si="4"/>
        <v>10766.04555</v>
      </c>
    </row>
    <row r="293">
      <c r="A293" s="19" t="s">
        <v>196</v>
      </c>
      <c r="B293" s="32">
        <v>7000.0</v>
      </c>
      <c r="C293" s="158">
        <f t="shared" si="3"/>
        <v>6086.956522</v>
      </c>
      <c r="D293" s="14">
        <f t="shared" si="4"/>
        <v>5797.101449</v>
      </c>
    </row>
    <row r="294">
      <c r="A294" s="10" t="s">
        <v>197</v>
      </c>
      <c r="B294" s="13">
        <v>400.0</v>
      </c>
      <c r="C294" s="158">
        <f t="shared" si="3"/>
        <v>347.826087</v>
      </c>
      <c r="D294" s="14">
        <f t="shared" si="4"/>
        <v>331.26294</v>
      </c>
    </row>
    <row r="295">
      <c r="A295" s="39" t="s">
        <v>198</v>
      </c>
      <c r="B295" s="22">
        <v>4500.0</v>
      </c>
      <c r="C295" s="158">
        <f t="shared" si="3"/>
        <v>3913.043478</v>
      </c>
      <c r="D295" s="14">
        <f t="shared" si="4"/>
        <v>3726.708075</v>
      </c>
    </row>
    <row r="296">
      <c r="A296" s="26" t="s">
        <v>200</v>
      </c>
      <c r="B296" s="32">
        <v>2500.0</v>
      </c>
      <c r="C296" s="158">
        <f t="shared" si="3"/>
        <v>2173.913043</v>
      </c>
      <c r="D296" s="14">
        <f t="shared" si="4"/>
        <v>2070.393375</v>
      </c>
    </row>
    <row r="297">
      <c r="A297" s="10" t="s">
        <v>201</v>
      </c>
      <c r="B297" s="13">
        <v>300.0</v>
      </c>
      <c r="C297" s="158">
        <f t="shared" si="3"/>
        <v>260.8695652</v>
      </c>
      <c r="D297" s="14">
        <f t="shared" si="4"/>
        <v>248.447205</v>
      </c>
    </row>
    <row r="298">
      <c r="A298" s="39" t="s">
        <v>202</v>
      </c>
      <c r="B298" s="22">
        <v>4500.0</v>
      </c>
      <c r="C298" s="158">
        <f t="shared" si="3"/>
        <v>3913.043478</v>
      </c>
      <c r="D298" s="14">
        <f t="shared" si="4"/>
        <v>3726.708075</v>
      </c>
    </row>
    <row r="299">
      <c r="A299" s="26" t="s">
        <v>204</v>
      </c>
      <c r="B299" s="32">
        <v>2500.0</v>
      </c>
      <c r="C299" s="158">
        <f t="shared" si="3"/>
        <v>2173.913043</v>
      </c>
      <c r="D299" s="14">
        <f t="shared" si="4"/>
        <v>2070.393375</v>
      </c>
    </row>
    <row r="300">
      <c r="A300" s="10" t="s">
        <v>205</v>
      </c>
      <c r="B300" s="13">
        <v>300.0</v>
      </c>
      <c r="C300" s="158">
        <f t="shared" si="3"/>
        <v>260.8695652</v>
      </c>
      <c r="D300" s="14">
        <f t="shared" si="4"/>
        <v>248.447205</v>
      </c>
    </row>
    <row r="301">
      <c r="A301" s="39" t="s">
        <v>206</v>
      </c>
      <c r="B301" s="22">
        <v>13500.0</v>
      </c>
      <c r="C301" s="158">
        <f t="shared" si="3"/>
        <v>11739.13043</v>
      </c>
      <c r="D301" s="14">
        <f t="shared" si="4"/>
        <v>11180.12422</v>
      </c>
    </row>
    <row r="302">
      <c r="A302" s="26" t="s">
        <v>208</v>
      </c>
      <c r="B302" s="32">
        <v>8000.0</v>
      </c>
      <c r="C302" s="158">
        <f t="shared" si="3"/>
        <v>6956.521739</v>
      </c>
      <c r="D302" s="14">
        <f t="shared" si="4"/>
        <v>6625.258799</v>
      </c>
    </row>
    <row r="303">
      <c r="A303" s="10" t="s">
        <v>209</v>
      </c>
      <c r="B303" s="13">
        <v>400.0</v>
      </c>
      <c r="C303" s="158">
        <f t="shared" si="3"/>
        <v>347.826087</v>
      </c>
      <c r="D303" s="14">
        <f t="shared" si="4"/>
        <v>331.26294</v>
      </c>
    </row>
    <row r="304">
      <c r="A304" s="111" t="s">
        <v>210</v>
      </c>
      <c r="B304" s="22">
        <v>14500.0</v>
      </c>
      <c r="C304" s="158">
        <f t="shared" si="3"/>
        <v>12608.69565</v>
      </c>
      <c r="D304" s="14">
        <f t="shared" si="4"/>
        <v>12008.28157</v>
      </c>
    </row>
    <row r="305">
      <c r="A305" s="112" t="s">
        <v>212</v>
      </c>
      <c r="B305" s="32">
        <v>8000.0</v>
      </c>
      <c r="C305" s="158">
        <f t="shared" si="3"/>
        <v>6956.521739</v>
      </c>
      <c r="D305" s="14">
        <f t="shared" si="4"/>
        <v>6625.258799</v>
      </c>
    </row>
    <row r="306">
      <c r="A306" s="80" t="s">
        <v>214</v>
      </c>
      <c r="B306" s="13">
        <v>550.0</v>
      </c>
      <c r="C306" s="158">
        <f t="shared" si="3"/>
        <v>478.2608696</v>
      </c>
      <c r="D306" s="14">
        <f t="shared" si="4"/>
        <v>455.4865424</v>
      </c>
    </row>
    <row r="307">
      <c r="A307" s="84" t="s">
        <v>215</v>
      </c>
      <c r="B307" s="81">
        <v>17000.0</v>
      </c>
      <c r="C307" s="158">
        <f t="shared" si="3"/>
        <v>14782.6087</v>
      </c>
      <c r="D307" s="14">
        <f t="shared" si="4"/>
        <v>14078.67495</v>
      </c>
    </row>
    <row r="308">
      <c r="A308" s="61" t="s">
        <v>217</v>
      </c>
      <c r="B308" s="32">
        <v>9000.0</v>
      </c>
      <c r="C308" s="158">
        <f t="shared" si="3"/>
        <v>7826.086957</v>
      </c>
      <c r="D308" s="14">
        <f t="shared" si="4"/>
        <v>7453.416149</v>
      </c>
    </row>
    <row r="309">
      <c r="A309" s="51" t="s">
        <v>218</v>
      </c>
      <c r="B309" s="54">
        <v>600.0</v>
      </c>
      <c r="C309" s="158">
        <f t="shared" si="3"/>
        <v>521.7391304</v>
      </c>
      <c r="D309" s="14">
        <f t="shared" si="4"/>
        <v>496.8944099</v>
      </c>
    </row>
    <row r="310">
      <c r="A310" s="80" t="s">
        <v>223</v>
      </c>
      <c r="B310" s="13">
        <v>500.0</v>
      </c>
      <c r="C310" s="158">
        <f t="shared" si="3"/>
        <v>434.7826087</v>
      </c>
      <c r="D310" s="14">
        <f t="shared" si="4"/>
        <v>414.0786749</v>
      </c>
    </row>
    <row r="311">
      <c r="A311" s="163" t="s">
        <v>329</v>
      </c>
      <c r="B311" s="54">
        <v>500.0</v>
      </c>
      <c r="C311" s="158">
        <f t="shared" si="3"/>
        <v>434.7826087</v>
      </c>
      <c r="D311" s="14">
        <f t="shared" si="4"/>
        <v>414.0786749</v>
      </c>
    </row>
    <row r="312">
      <c r="A312" s="10" t="s">
        <v>226</v>
      </c>
      <c r="B312" s="54">
        <v>300.0</v>
      </c>
      <c r="C312" s="158">
        <f t="shared" si="3"/>
        <v>260.8695652</v>
      </c>
      <c r="D312" s="14">
        <f t="shared" si="4"/>
        <v>248.447205</v>
      </c>
    </row>
    <row r="313">
      <c r="A313" s="111" t="s">
        <v>228</v>
      </c>
      <c r="B313" s="22">
        <v>10000.0</v>
      </c>
      <c r="C313" s="158">
        <f t="shared" si="3"/>
        <v>8695.652174</v>
      </c>
      <c r="D313" s="14">
        <f t="shared" si="4"/>
        <v>8281.573499</v>
      </c>
    </row>
    <row r="314">
      <c r="A314" s="112" t="s">
        <v>230</v>
      </c>
      <c r="B314" s="32">
        <v>5500.0</v>
      </c>
      <c r="C314" s="158">
        <f t="shared" si="3"/>
        <v>4782.608696</v>
      </c>
      <c r="D314" s="14">
        <f t="shared" si="4"/>
        <v>4554.865424</v>
      </c>
    </row>
    <row r="315">
      <c r="A315" s="11" t="s">
        <v>232</v>
      </c>
      <c r="B315" s="13">
        <v>300.0</v>
      </c>
      <c r="C315" s="158">
        <f t="shared" si="3"/>
        <v>260.8695652</v>
      </c>
      <c r="D315" s="14">
        <f t="shared" si="4"/>
        <v>248.447205</v>
      </c>
    </row>
    <row r="316">
      <c r="A316" s="19" t="s">
        <v>233</v>
      </c>
      <c r="B316" s="22">
        <v>13000.0</v>
      </c>
      <c r="C316" s="158">
        <f t="shared" si="3"/>
        <v>11304.34783</v>
      </c>
      <c r="D316" s="14">
        <f t="shared" si="4"/>
        <v>10766.04555</v>
      </c>
    </row>
    <row r="317">
      <c r="A317" s="26" t="s">
        <v>235</v>
      </c>
      <c r="B317" s="32">
        <v>8000.0</v>
      </c>
      <c r="C317" s="158">
        <f t="shared" si="3"/>
        <v>6956.521739</v>
      </c>
      <c r="D317" s="14">
        <f t="shared" si="4"/>
        <v>6625.258799</v>
      </c>
    </row>
    <row r="318">
      <c r="A318" s="34" t="s">
        <v>236</v>
      </c>
      <c r="B318" s="13">
        <v>500.0</v>
      </c>
      <c r="C318" s="158">
        <f t="shared" si="3"/>
        <v>434.7826087</v>
      </c>
      <c r="D318" s="14">
        <f t="shared" si="4"/>
        <v>414.0786749</v>
      </c>
    </row>
    <row r="319">
      <c r="A319" s="10" t="s">
        <v>238</v>
      </c>
      <c r="B319" s="54">
        <v>1500.0</v>
      </c>
      <c r="C319" s="158">
        <f t="shared" si="3"/>
        <v>1304.347826</v>
      </c>
      <c r="D319" s="14">
        <f t="shared" si="4"/>
        <v>1242.236025</v>
      </c>
    </row>
    <row r="320">
      <c r="A320" s="19" t="s">
        <v>239</v>
      </c>
      <c r="B320" s="22">
        <v>2700.0</v>
      </c>
      <c r="C320" s="158">
        <f t="shared" si="3"/>
        <v>2347.826087</v>
      </c>
      <c r="D320" s="14">
        <f t="shared" si="4"/>
        <v>2236.024845</v>
      </c>
    </row>
    <row r="321">
      <c r="A321" s="34" t="s">
        <v>241</v>
      </c>
      <c r="B321" s="13">
        <v>700.0</v>
      </c>
      <c r="C321" s="158">
        <f t="shared" si="3"/>
        <v>608.6956522</v>
      </c>
      <c r="D321" s="14">
        <f t="shared" si="4"/>
        <v>579.7101449</v>
      </c>
    </row>
    <row r="322">
      <c r="A322" s="19" t="s">
        <v>242</v>
      </c>
      <c r="B322" s="22">
        <v>2700.0</v>
      </c>
      <c r="C322" s="158">
        <f t="shared" si="3"/>
        <v>2347.826087</v>
      </c>
      <c r="D322" s="14">
        <f t="shared" si="4"/>
        <v>2236.024845</v>
      </c>
    </row>
    <row r="323">
      <c r="A323" s="34" t="s">
        <v>244</v>
      </c>
      <c r="B323" s="13">
        <v>900.0</v>
      </c>
      <c r="C323" s="158">
        <f t="shared" si="3"/>
        <v>782.6086957</v>
      </c>
      <c r="D323" s="14">
        <f t="shared" si="4"/>
        <v>745.3416149</v>
      </c>
    </row>
    <row r="324">
      <c r="A324" s="120" t="s">
        <v>246</v>
      </c>
      <c r="B324" s="22">
        <v>10000.0</v>
      </c>
      <c r="C324" s="158">
        <f t="shared" si="3"/>
        <v>8695.652174</v>
      </c>
      <c r="D324" s="14">
        <f t="shared" si="4"/>
        <v>8281.573499</v>
      </c>
    </row>
    <row r="325">
      <c r="A325" s="121" t="s">
        <v>248</v>
      </c>
      <c r="B325" s="32">
        <v>5500.0</v>
      </c>
      <c r="C325" s="158">
        <f t="shared" si="3"/>
        <v>4782.608696</v>
      </c>
      <c r="D325" s="14">
        <f t="shared" si="4"/>
        <v>4554.865424</v>
      </c>
    </row>
    <row r="326">
      <c r="A326" s="122" t="s">
        <v>249</v>
      </c>
      <c r="B326" s="13">
        <v>400.0</v>
      </c>
      <c r="C326" s="158">
        <f t="shared" si="3"/>
        <v>347.826087</v>
      </c>
      <c r="D326" s="14">
        <f t="shared" si="4"/>
        <v>331.26294</v>
      </c>
    </row>
    <row r="327">
      <c r="A327" s="10" t="s">
        <v>260</v>
      </c>
      <c r="B327" s="54">
        <v>100.0</v>
      </c>
      <c r="C327" s="158">
        <f t="shared" si="3"/>
        <v>86.95652174</v>
      </c>
      <c r="D327" s="14">
        <f t="shared" si="4"/>
        <v>82.81573499</v>
      </c>
    </row>
    <row r="328">
      <c r="A328" s="19" t="s">
        <v>261</v>
      </c>
      <c r="B328" s="164">
        <v>9500.0</v>
      </c>
      <c r="C328" s="158">
        <f t="shared" si="3"/>
        <v>8260.869565</v>
      </c>
      <c r="D328" s="14">
        <f t="shared" si="4"/>
        <v>7867.494824</v>
      </c>
      <c r="E328" s="165">
        <f>B328/2</f>
        <v>4750</v>
      </c>
    </row>
    <row r="329">
      <c r="A329" s="26" t="s">
        <v>263</v>
      </c>
      <c r="B329" s="166">
        <v>8000.0</v>
      </c>
      <c r="C329" s="158">
        <f t="shared" si="3"/>
        <v>6956.521739</v>
      </c>
      <c r="D329" s="14">
        <f t="shared" si="4"/>
        <v>6625.258799</v>
      </c>
    </row>
    <row r="330">
      <c r="A330" s="26" t="s">
        <v>264</v>
      </c>
      <c r="B330" s="166">
        <v>6500.0</v>
      </c>
      <c r="C330" s="158">
        <f t="shared" si="3"/>
        <v>5652.173913</v>
      </c>
      <c r="D330" s="14">
        <f t="shared" si="4"/>
        <v>5383.022774</v>
      </c>
    </row>
    <row r="331">
      <c r="A331" s="10" t="s">
        <v>266</v>
      </c>
      <c r="B331" s="167">
        <v>400.0</v>
      </c>
      <c r="C331" s="158">
        <f t="shared" si="3"/>
        <v>347.826087</v>
      </c>
      <c r="D331" s="14">
        <f t="shared" si="4"/>
        <v>331.26294</v>
      </c>
    </row>
    <row r="332">
      <c r="A332" s="10" t="s">
        <v>271</v>
      </c>
      <c r="B332" s="54">
        <v>50.0</v>
      </c>
      <c r="C332" s="158">
        <f t="shared" si="3"/>
        <v>43.47826087</v>
      </c>
      <c r="D332" s="14">
        <f t="shared" si="4"/>
        <v>41.40786749</v>
      </c>
    </row>
    <row r="333">
      <c r="A333" s="80" t="s">
        <v>273</v>
      </c>
      <c r="B333" s="54">
        <v>60.0</v>
      </c>
      <c r="C333" s="158">
        <f t="shared" si="3"/>
        <v>52.17391304</v>
      </c>
      <c r="D333" s="14">
        <f t="shared" si="4"/>
        <v>49.68944099</v>
      </c>
    </row>
  </sheetData>
  <mergeCells count="168">
    <mergeCell ref="C48:C51"/>
    <mergeCell ref="D48:D51"/>
    <mergeCell ref="A52:A55"/>
    <mergeCell ref="B52:B55"/>
    <mergeCell ref="C52:C55"/>
    <mergeCell ref="D52:D55"/>
    <mergeCell ref="A56:A58"/>
    <mergeCell ref="D56:D58"/>
    <mergeCell ref="B56:B58"/>
    <mergeCell ref="C56:C58"/>
    <mergeCell ref="A59:A64"/>
    <mergeCell ref="B59:B64"/>
    <mergeCell ref="C59:C64"/>
    <mergeCell ref="D59:D64"/>
    <mergeCell ref="A65:A67"/>
    <mergeCell ref="D65:D67"/>
    <mergeCell ref="A127:A130"/>
    <mergeCell ref="B127:B130"/>
    <mergeCell ref="C127:C130"/>
    <mergeCell ref="D127:D130"/>
    <mergeCell ref="B131:B134"/>
    <mergeCell ref="C131:C134"/>
    <mergeCell ref="D131:D134"/>
    <mergeCell ref="A131:A134"/>
    <mergeCell ref="A135:A139"/>
    <mergeCell ref="B135:B139"/>
    <mergeCell ref="C135:C139"/>
    <mergeCell ref="D135:D139"/>
    <mergeCell ref="A140:A144"/>
    <mergeCell ref="B140:B144"/>
    <mergeCell ref="B150:B153"/>
    <mergeCell ref="C150:C153"/>
    <mergeCell ref="C140:C144"/>
    <mergeCell ref="D140:D144"/>
    <mergeCell ref="A145:A149"/>
    <mergeCell ref="B145:B149"/>
    <mergeCell ref="C145:C149"/>
    <mergeCell ref="D145:D149"/>
    <mergeCell ref="D150:D153"/>
    <mergeCell ref="C158:C160"/>
    <mergeCell ref="D158:D160"/>
    <mergeCell ref="A150:A153"/>
    <mergeCell ref="A154:A157"/>
    <mergeCell ref="B154:B157"/>
    <mergeCell ref="C154:C157"/>
    <mergeCell ref="D154:D157"/>
    <mergeCell ref="A158:A160"/>
    <mergeCell ref="B158:B160"/>
    <mergeCell ref="A2:A4"/>
    <mergeCell ref="B2:B4"/>
    <mergeCell ref="C2:C4"/>
    <mergeCell ref="D2:D4"/>
    <mergeCell ref="B5:B6"/>
    <mergeCell ref="C5:C6"/>
    <mergeCell ref="D5:D6"/>
    <mergeCell ref="C11:C16"/>
    <mergeCell ref="D11:D16"/>
    <mergeCell ref="A5:A6"/>
    <mergeCell ref="A7:A10"/>
    <mergeCell ref="B7:B10"/>
    <mergeCell ref="C7:C10"/>
    <mergeCell ref="D7:D10"/>
    <mergeCell ref="A11:A16"/>
    <mergeCell ref="B11:B16"/>
    <mergeCell ref="A17:A20"/>
    <mergeCell ref="B17:B20"/>
    <mergeCell ref="C17:C20"/>
    <mergeCell ref="D17:D20"/>
    <mergeCell ref="B21:B24"/>
    <mergeCell ref="C21:C24"/>
    <mergeCell ref="D21:D24"/>
    <mergeCell ref="C29:C33"/>
    <mergeCell ref="D29:D33"/>
    <mergeCell ref="A21:A24"/>
    <mergeCell ref="A25:A28"/>
    <mergeCell ref="B25:B28"/>
    <mergeCell ref="C25:C28"/>
    <mergeCell ref="D25:D28"/>
    <mergeCell ref="A29:A33"/>
    <mergeCell ref="B29:B33"/>
    <mergeCell ref="A161:A163"/>
    <mergeCell ref="B161:B163"/>
    <mergeCell ref="C161:C163"/>
    <mergeCell ref="D161:D163"/>
    <mergeCell ref="A164:A166"/>
    <mergeCell ref="B164:B166"/>
    <mergeCell ref="C164:C166"/>
    <mergeCell ref="D164:D166"/>
    <mergeCell ref="A34:A37"/>
    <mergeCell ref="B34:B37"/>
    <mergeCell ref="C34:C37"/>
    <mergeCell ref="D34:D37"/>
    <mergeCell ref="B38:B41"/>
    <mergeCell ref="C38:C41"/>
    <mergeCell ref="D38:D41"/>
    <mergeCell ref="A38:A41"/>
    <mergeCell ref="A42:A47"/>
    <mergeCell ref="B42:B47"/>
    <mergeCell ref="C42:C47"/>
    <mergeCell ref="D42:D47"/>
    <mergeCell ref="A48:A51"/>
    <mergeCell ref="B48:B51"/>
    <mergeCell ref="B65:B67"/>
    <mergeCell ref="C65:C67"/>
    <mergeCell ref="A68:A70"/>
    <mergeCell ref="B68:B70"/>
    <mergeCell ref="C68:C70"/>
    <mergeCell ref="D68:D70"/>
    <mergeCell ref="A71:A73"/>
    <mergeCell ref="D71:D73"/>
    <mergeCell ref="B71:B73"/>
    <mergeCell ref="C71:C73"/>
    <mergeCell ref="A74:A78"/>
    <mergeCell ref="B74:B78"/>
    <mergeCell ref="C74:C78"/>
    <mergeCell ref="D74:D78"/>
    <mergeCell ref="A79:A81"/>
    <mergeCell ref="D79:D81"/>
    <mergeCell ref="B85:B87"/>
    <mergeCell ref="C85:C87"/>
    <mergeCell ref="B79:B81"/>
    <mergeCell ref="C79:C81"/>
    <mergeCell ref="A82:A84"/>
    <mergeCell ref="B82:B84"/>
    <mergeCell ref="C82:C84"/>
    <mergeCell ref="D82:D84"/>
    <mergeCell ref="D85:D87"/>
    <mergeCell ref="C91:C93"/>
    <mergeCell ref="D91:D93"/>
    <mergeCell ref="A85:A87"/>
    <mergeCell ref="A88:A90"/>
    <mergeCell ref="B88:B90"/>
    <mergeCell ref="C88:C90"/>
    <mergeCell ref="D88:D90"/>
    <mergeCell ref="A91:A93"/>
    <mergeCell ref="B91:B93"/>
    <mergeCell ref="A94:A96"/>
    <mergeCell ref="B94:B96"/>
    <mergeCell ref="C94:C96"/>
    <mergeCell ref="D94:D96"/>
    <mergeCell ref="B97:B100"/>
    <mergeCell ref="C97:C100"/>
    <mergeCell ref="D97:D100"/>
    <mergeCell ref="A97:A100"/>
    <mergeCell ref="A101:A105"/>
    <mergeCell ref="B101:B105"/>
    <mergeCell ref="C101:C105"/>
    <mergeCell ref="D101:D105"/>
    <mergeCell ref="A106:A110"/>
    <mergeCell ref="B106:B110"/>
    <mergeCell ref="B116:B120"/>
    <mergeCell ref="C116:C120"/>
    <mergeCell ref="C106:C110"/>
    <mergeCell ref="D106:D110"/>
    <mergeCell ref="A111:A115"/>
    <mergeCell ref="B111:B115"/>
    <mergeCell ref="C111:C115"/>
    <mergeCell ref="D111:D115"/>
    <mergeCell ref="D116:D120"/>
    <mergeCell ref="C125:C126"/>
    <mergeCell ref="D125:D126"/>
    <mergeCell ref="A116:A120"/>
    <mergeCell ref="A121:A124"/>
    <mergeCell ref="B121:B124"/>
    <mergeCell ref="C121:C124"/>
    <mergeCell ref="D121:D124"/>
    <mergeCell ref="A125:A126"/>
    <mergeCell ref="B125:B126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13"/>
  </cols>
  <sheetData>
    <row r="8">
      <c r="D8" s="168" t="s">
        <v>286</v>
      </c>
    </row>
    <row r="9">
      <c r="D9" s="25"/>
    </row>
    <row r="10">
      <c r="D10" s="25"/>
    </row>
    <row r="11">
      <c r="D11" s="33"/>
    </row>
    <row r="12">
      <c r="D12" s="169" t="s">
        <v>290</v>
      </c>
    </row>
    <row r="13">
      <c r="D13" s="25"/>
    </row>
    <row r="14">
      <c r="D14" s="25"/>
    </row>
    <row r="15">
      <c r="D15" s="25"/>
    </row>
    <row r="16">
      <c r="D16" s="25"/>
    </row>
    <row r="17">
      <c r="D17" s="33"/>
    </row>
    <row r="18">
      <c r="D18" s="169" t="s">
        <v>298</v>
      </c>
    </row>
    <row r="19">
      <c r="D19" s="25"/>
    </row>
    <row r="20">
      <c r="D20" s="25"/>
    </row>
    <row r="21">
      <c r="D21" s="33"/>
    </row>
    <row r="22">
      <c r="D22" s="169" t="s">
        <v>299</v>
      </c>
    </row>
    <row r="23">
      <c r="D23" s="25"/>
    </row>
    <row r="24">
      <c r="D24" s="25"/>
    </row>
    <row r="25">
      <c r="D25" s="33"/>
    </row>
    <row r="26">
      <c r="D26" s="168" t="s">
        <v>305</v>
      </c>
    </row>
    <row r="27">
      <c r="D27" s="25"/>
    </row>
    <row r="28">
      <c r="D28" s="25"/>
    </row>
    <row r="29">
      <c r="D29" s="25"/>
    </row>
    <row r="30">
      <c r="D30" s="33"/>
    </row>
    <row r="31">
      <c r="D31" s="169" t="s">
        <v>306</v>
      </c>
    </row>
    <row r="32">
      <c r="D32" s="25"/>
    </row>
    <row r="33">
      <c r="D33" s="33"/>
    </row>
  </sheetData>
  <mergeCells count="6">
    <mergeCell ref="D8:D11"/>
    <mergeCell ref="D12:D17"/>
    <mergeCell ref="D18:D21"/>
    <mergeCell ref="D22:D25"/>
    <mergeCell ref="D26:D30"/>
    <mergeCell ref="D31:D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5"/>
    <col customWidth="1" min="2" max="2" width="32.88"/>
    <col customWidth="1" min="3" max="3" width="6.75"/>
    <col customWidth="1" min="4" max="4" width="7.75"/>
    <col customWidth="1" min="5" max="5" width="6.75"/>
    <col customWidth="1" min="6" max="6" width="10.25"/>
    <col customWidth="1" min="7" max="7" width="10.0"/>
    <col customWidth="1" min="8" max="11" width="6.75"/>
    <col customWidth="1" min="12" max="12" width="14.13"/>
    <col customWidth="1" min="16" max="16" width="4.0"/>
  </cols>
  <sheetData>
    <row r="1">
      <c r="A1" s="145" t="s">
        <v>275</v>
      </c>
      <c r="B1" s="170" t="s">
        <v>2</v>
      </c>
      <c r="C1" s="170" t="s">
        <v>330</v>
      </c>
      <c r="D1" s="170" t="s">
        <v>4</v>
      </c>
      <c r="E1" s="171" t="s">
        <v>331</v>
      </c>
      <c r="F1" s="172" t="s">
        <v>5</v>
      </c>
      <c r="G1" s="172"/>
      <c r="H1" s="173" t="s">
        <v>6</v>
      </c>
      <c r="I1" s="174" t="s">
        <v>332</v>
      </c>
      <c r="J1" s="174" t="s">
        <v>333</v>
      </c>
      <c r="K1" s="174" t="s">
        <v>334</v>
      </c>
      <c r="L1" s="172" t="s">
        <v>335</v>
      </c>
      <c r="M1" s="173" t="s">
        <v>336</v>
      </c>
      <c r="N1" s="173" t="s">
        <v>276</v>
      </c>
      <c r="O1" s="53" t="s">
        <v>334</v>
      </c>
      <c r="Q1" s="173" t="s">
        <v>336</v>
      </c>
    </row>
    <row r="2">
      <c r="A2" s="175" t="s">
        <v>279</v>
      </c>
      <c r="B2" s="176" t="s">
        <v>45</v>
      </c>
      <c r="C2" s="176" t="s">
        <v>16</v>
      </c>
      <c r="D2" s="177">
        <v>60.0</v>
      </c>
      <c r="E2" s="178">
        <v>2.0</v>
      </c>
      <c r="F2" s="22">
        <v>207.646875</v>
      </c>
      <c r="G2" s="81">
        <f t="shared" ref="G2:G181" si="1">F2*E2</f>
        <v>415.29375</v>
      </c>
      <c r="H2" s="82">
        <f t="shared" ref="H2:H181" si="2">G2*25%+G2</f>
        <v>519.1171875</v>
      </c>
      <c r="I2" s="179">
        <f t="shared" ref="I2:I181" si="3">H2*30%+H2</f>
        <v>674.8523438</v>
      </c>
      <c r="J2" s="179">
        <f t="shared" ref="J2:J181" si="4">I2*5%+I2</f>
        <v>708.5949609</v>
      </c>
      <c r="K2" s="179">
        <f t="shared" ref="K2:K181" si="5">J2*15%+J2</f>
        <v>814.8842051</v>
      </c>
      <c r="L2" s="150"/>
      <c r="M2" s="150">
        <f>K4+K3+K2</f>
        <v>963.4087176</v>
      </c>
      <c r="N2" s="150">
        <v>970.0</v>
      </c>
      <c r="O2" s="180">
        <v>814.884205078125</v>
      </c>
      <c r="Q2" s="150">
        <f>O4+O3+O2</f>
        <v>963.4087176</v>
      </c>
    </row>
    <row r="3">
      <c r="A3" s="25"/>
      <c r="B3" s="181" t="s">
        <v>337</v>
      </c>
      <c r="C3" s="181" t="s">
        <v>16</v>
      </c>
      <c r="D3" s="182">
        <v>60.0</v>
      </c>
      <c r="E3" s="183">
        <v>1.0</v>
      </c>
      <c r="F3" s="29">
        <v>64.58333333333333</v>
      </c>
      <c r="G3" s="81">
        <f t="shared" si="1"/>
        <v>64.58333333</v>
      </c>
      <c r="H3" s="30">
        <f t="shared" si="2"/>
        <v>80.72916667</v>
      </c>
      <c r="I3" s="43">
        <f t="shared" si="3"/>
        <v>104.9479167</v>
      </c>
      <c r="J3" s="43">
        <f t="shared" si="4"/>
        <v>110.1953125</v>
      </c>
      <c r="K3" s="43">
        <f t="shared" si="5"/>
        <v>126.7246094</v>
      </c>
      <c r="L3" s="25"/>
      <c r="M3" s="25"/>
      <c r="N3" s="25"/>
      <c r="O3" s="8">
        <v>126.72460937499999</v>
      </c>
      <c r="Q3" s="25"/>
    </row>
    <row r="4">
      <c r="A4" s="33"/>
      <c r="B4" s="184" t="s">
        <v>40</v>
      </c>
      <c r="C4" s="184" t="s">
        <v>338</v>
      </c>
      <c r="D4" s="185">
        <v>100.0</v>
      </c>
      <c r="E4" s="186">
        <v>1.0</v>
      </c>
      <c r="F4" s="13">
        <f>33.33/3</f>
        <v>11.11</v>
      </c>
      <c r="G4" s="54">
        <f t="shared" si="1"/>
        <v>11.11</v>
      </c>
      <c r="H4" s="55">
        <f t="shared" si="2"/>
        <v>13.8875</v>
      </c>
      <c r="I4" s="14">
        <f t="shared" si="3"/>
        <v>18.05375</v>
      </c>
      <c r="J4" s="14">
        <f t="shared" si="4"/>
        <v>18.9564375</v>
      </c>
      <c r="K4" s="14">
        <f t="shared" si="5"/>
        <v>21.79990313</v>
      </c>
      <c r="L4" s="33"/>
      <c r="M4" s="33"/>
      <c r="N4" s="33"/>
      <c r="O4" s="8">
        <v>21.799903125</v>
      </c>
      <c r="Q4" s="33"/>
    </row>
    <row r="5">
      <c r="A5" s="149" t="s">
        <v>283</v>
      </c>
      <c r="B5" s="176" t="s">
        <v>339</v>
      </c>
      <c r="C5" s="176" t="s">
        <v>338</v>
      </c>
      <c r="D5" s="177">
        <v>60.0</v>
      </c>
      <c r="E5" s="178">
        <v>2.0</v>
      </c>
      <c r="F5" s="13">
        <v>86.96</v>
      </c>
      <c r="G5" s="81">
        <f t="shared" si="1"/>
        <v>173.92</v>
      </c>
      <c r="H5" s="82">
        <f t="shared" si="2"/>
        <v>217.4</v>
      </c>
      <c r="I5" s="82">
        <f t="shared" si="3"/>
        <v>282.62</v>
      </c>
      <c r="J5" s="82">
        <f t="shared" si="4"/>
        <v>296.751</v>
      </c>
      <c r="K5" s="82">
        <f t="shared" si="5"/>
        <v>341.26365</v>
      </c>
      <c r="L5" s="89"/>
      <c r="M5" s="89">
        <f>K5+K6</f>
        <v>763.7468395</v>
      </c>
      <c r="N5" s="187">
        <v>800.0</v>
      </c>
      <c r="O5" s="8">
        <v>341.2636499999999</v>
      </c>
      <c r="Q5" s="89">
        <f>O5+O6</f>
        <v>763.7468395</v>
      </c>
    </row>
    <row r="6">
      <c r="A6" s="33"/>
      <c r="B6" s="184" t="s">
        <v>340</v>
      </c>
      <c r="C6" s="184" t="s">
        <v>338</v>
      </c>
      <c r="D6" s="186">
        <v>30.0</v>
      </c>
      <c r="E6" s="186">
        <v>1.0</v>
      </c>
      <c r="F6" s="37">
        <v>215.31234375</v>
      </c>
      <c r="G6" s="54">
        <f t="shared" si="1"/>
        <v>215.3123438</v>
      </c>
      <c r="H6" s="55">
        <f t="shared" si="2"/>
        <v>269.1404297</v>
      </c>
      <c r="I6" s="14">
        <f t="shared" si="3"/>
        <v>349.8825586</v>
      </c>
      <c r="J6" s="14">
        <f t="shared" si="4"/>
        <v>367.3766865</v>
      </c>
      <c r="K6" s="14">
        <f t="shared" si="5"/>
        <v>422.4831895</v>
      </c>
      <c r="L6" s="33"/>
      <c r="M6" s="33"/>
      <c r="N6" s="33"/>
      <c r="O6" s="8">
        <v>422.4831895019531</v>
      </c>
      <c r="Q6" s="33"/>
    </row>
    <row r="7">
      <c r="A7" s="149" t="s">
        <v>286</v>
      </c>
      <c r="B7" s="188" t="s">
        <v>341</v>
      </c>
      <c r="C7" s="176" t="s">
        <v>338</v>
      </c>
      <c r="D7" s="177">
        <v>60.0</v>
      </c>
      <c r="E7" s="178">
        <v>2.0</v>
      </c>
      <c r="F7" s="58">
        <v>86.95652173913044</v>
      </c>
      <c r="G7" s="81">
        <f t="shared" si="1"/>
        <v>173.9130435</v>
      </c>
      <c r="H7" s="82">
        <f t="shared" si="2"/>
        <v>217.3913043</v>
      </c>
      <c r="I7" s="82">
        <f t="shared" si="3"/>
        <v>282.6086957</v>
      </c>
      <c r="J7" s="82">
        <f t="shared" si="4"/>
        <v>296.7391304</v>
      </c>
      <c r="K7" s="82">
        <f t="shared" si="5"/>
        <v>341.25</v>
      </c>
      <c r="L7" s="152">
        <v>700.0</v>
      </c>
      <c r="M7" s="88">
        <f>SUM(K7:K10)</f>
        <v>606.1453125</v>
      </c>
      <c r="N7" s="154">
        <v>700.0</v>
      </c>
      <c r="O7" s="8">
        <v>341.25</v>
      </c>
      <c r="Q7" s="88">
        <f>SUM(O7:O10)</f>
        <v>606.1453125</v>
      </c>
    </row>
    <row r="8">
      <c r="A8" s="25"/>
      <c r="B8" s="181" t="s">
        <v>342</v>
      </c>
      <c r="C8" s="181" t="s">
        <v>338</v>
      </c>
      <c r="D8" s="182">
        <v>30.0</v>
      </c>
      <c r="E8" s="183">
        <v>1.0</v>
      </c>
      <c r="F8" s="32">
        <v>20.0</v>
      </c>
      <c r="G8" s="32">
        <f t="shared" si="1"/>
        <v>20</v>
      </c>
      <c r="H8" s="30">
        <f t="shared" si="2"/>
        <v>25</v>
      </c>
      <c r="I8" s="43">
        <f t="shared" si="3"/>
        <v>32.5</v>
      </c>
      <c r="J8" s="43">
        <f t="shared" si="4"/>
        <v>34.125</v>
      </c>
      <c r="K8" s="43">
        <f t="shared" si="5"/>
        <v>39.24375</v>
      </c>
      <c r="L8" s="155"/>
      <c r="M8" s="155"/>
      <c r="N8" s="155"/>
      <c r="O8" s="8">
        <v>39.24375</v>
      </c>
      <c r="Q8" s="155"/>
    </row>
    <row r="9">
      <c r="A9" s="25"/>
      <c r="B9" s="181" t="s">
        <v>343</v>
      </c>
      <c r="C9" s="181" t="s">
        <v>338</v>
      </c>
      <c r="D9" s="183">
        <v>30.0</v>
      </c>
      <c r="E9" s="183">
        <v>1.0</v>
      </c>
      <c r="F9" s="189">
        <v>35.0</v>
      </c>
      <c r="G9" s="32">
        <f t="shared" si="1"/>
        <v>35</v>
      </c>
      <c r="H9" s="30">
        <f t="shared" si="2"/>
        <v>43.75</v>
      </c>
      <c r="I9" s="43">
        <f t="shared" si="3"/>
        <v>56.875</v>
      </c>
      <c r="J9" s="43">
        <f t="shared" si="4"/>
        <v>59.71875</v>
      </c>
      <c r="K9" s="43">
        <f t="shared" si="5"/>
        <v>68.6765625</v>
      </c>
      <c r="L9" s="155"/>
      <c r="M9" s="155"/>
      <c r="N9" s="155"/>
      <c r="O9" s="8">
        <v>68.6765625</v>
      </c>
      <c r="Q9" s="155"/>
    </row>
    <row r="10">
      <c r="A10" s="33"/>
      <c r="B10" s="184" t="s">
        <v>344</v>
      </c>
      <c r="C10" s="184" t="s">
        <v>338</v>
      </c>
      <c r="D10" s="185">
        <v>60.0</v>
      </c>
      <c r="E10" s="186">
        <v>2.0</v>
      </c>
      <c r="F10" s="13">
        <v>40.0</v>
      </c>
      <c r="G10" s="54">
        <f t="shared" si="1"/>
        <v>80</v>
      </c>
      <c r="H10" s="55">
        <f t="shared" si="2"/>
        <v>100</v>
      </c>
      <c r="I10" s="14">
        <f t="shared" si="3"/>
        <v>130</v>
      </c>
      <c r="J10" s="14">
        <f t="shared" si="4"/>
        <v>136.5</v>
      </c>
      <c r="K10" s="14">
        <f t="shared" si="5"/>
        <v>156.975</v>
      </c>
      <c r="L10" s="153"/>
      <c r="M10" s="153"/>
      <c r="N10" s="153"/>
      <c r="O10" s="8">
        <v>156.975</v>
      </c>
      <c r="Q10" s="153"/>
    </row>
    <row r="11">
      <c r="A11" s="149" t="s">
        <v>290</v>
      </c>
      <c r="B11" s="176" t="s">
        <v>199</v>
      </c>
      <c r="C11" s="176" t="s">
        <v>338</v>
      </c>
      <c r="D11" s="177">
        <v>60.0</v>
      </c>
      <c r="E11" s="190">
        <v>2.0</v>
      </c>
      <c r="F11" s="42">
        <v>86.95652173913044</v>
      </c>
      <c r="G11" s="81">
        <f t="shared" si="1"/>
        <v>173.9130435</v>
      </c>
      <c r="H11" s="82">
        <f t="shared" si="2"/>
        <v>217.3913043</v>
      </c>
      <c r="I11" s="82">
        <f t="shared" si="3"/>
        <v>282.6086957</v>
      </c>
      <c r="J11" s="82">
        <f t="shared" si="4"/>
        <v>296.7391304</v>
      </c>
      <c r="K11" s="82">
        <f t="shared" si="5"/>
        <v>341.25</v>
      </c>
      <c r="L11" s="152">
        <v>500.0</v>
      </c>
      <c r="M11" s="88">
        <f>K11+K12+K13+K14+K15+K16</f>
        <v>617.9184375</v>
      </c>
      <c r="N11" s="154">
        <v>650.0</v>
      </c>
      <c r="O11" s="8">
        <v>341.25</v>
      </c>
      <c r="Q11" s="88">
        <f>O11+O12+O13+O14+O15+O16</f>
        <v>617.9184375</v>
      </c>
    </row>
    <row r="12">
      <c r="A12" s="25"/>
      <c r="B12" s="181" t="s">
        <v>343</v>
      </c>
      <c r="C12" s="181" t="s">
        <v>338</v>
      </c>
      <c r="D12" s="182">
        <v>30.0</v>
      </c>
      <c r="E12" s="183">
        <v>1.0</v>
      </c>
      <c r="F12" s="32">
        <v>35.0</v>
      </c>
      <c r="G12" s="32">
        <f t="shared" si="1"/>
        <v>35</v>
      </c>
      <c r="H12" s="30">
        <f t="shared" si="2"/>
        <v>43.75</v>
      </c>
      <c r="I12" s="43">
        <f t="shared" si="3"/>
        <v>56.875</v>
      </c>
      <c r="J12" s="43">
        <f t="shared" si="4"/>
        <v>59.71875</v>
      </c>
      <c r="K12" s="43">
        <f t="shared" si="5"/>
        <v>68.6765625</v>
      </c>
      <c r="L12" s="155"/>
      <c r="M12" s="155"/>
      <c r="N12" s="155"/>
      <c r="O12" s="8">
        <v>68.6765625</v>
      </c>
      <c r="Q12" s="155"/>
    </row>
    <row r="13">
      <c r="A13" s="25"/>
      <c r="B13" s="181" t="s">
        <v>342</v>
      </c>
      <c r="C13" s="181" t="s">
        <v>338</v>
      </c>
      <c r="D13" s="182">
        <v>30.0</v>
      </c>
      <c r="E13" s="183">
        <v>1.0</v>
      </c>
      <c r="F13" s="32">
        <v>20.0</v>
      </c>
      <c r="G13" s="32">
        <f t="shared" si="1"/>
        <v>20</v>
      </c>
      <c r="H13" s="30">
        <f t="shared" si="2"/>
        <v>25</v>
      </c>
      <c r="I13" s="43">
        <f t="shared" si="3"/>
        <v>32.5</v>
      </c>
      <c r="J13" s="43">
        <f t="shared" si="4"/>
        <v>34.125</v>
      </c>
      <c r="K13" s="43">
        <f t="shared" si="5"/>
        <v>39.24375</v>
      </c>
      <c r="L13" s="155"/>
      <c r="M13" s="155"/>
      <c r="N13" s="155"/>
      <c r="O13" s="8">
        <v>39.24375</v>
      </c>
      <c r="Q13" s="155"/>
    </row>
    <row r="14">
      <c r="A14" s="25"/>
      <c r="B14" s="191" t="s">
        <v>344</v>
      </c>
      <c r="C14" s="192"/>
      <c r="D14" s="193">
        <v>30.0</v>
      </c>
      <c r="E14" s="193">
        <v>1.0</v>
      </c>
      <c r="F14" s="45">
        <v>40.0</v>
      </c>
      <c r="G14" s="32">
        <f t="shared" si="1"/>
        <v>40</v>
      </c>
      <c r="H14" s="30">
        <f t="shared" si="2"/>
        <v>50</v>
      </c>
      <c r="I14" s="43">
        <f t="shared" si="3"/>
        <v>65</v>
      </c>
      <c r="J14" s="43">
        <f t="shared" si="4"/>
        <v>68.25</v>
      </c>
      <c r="K14" s="43">
        <f t="shared" si="5"/>
        <v>78.4875</v>
      </c>
      <c r="L14" s="155"/>
      <c r="M14" s="155"/>
      <c r="N14" s="155"/>
      <c r="O14" s="8">
        <v>78.4875</v>
      </c>
      <c r="Q14" s="155"/>
    </row>
    <row r="15">
      <c r="A15" s="25"/>
      <c r="B15" s="191" t="s">
        <v>345</v>
      </c>
      <c r="C15" s="192"/>
      <c r="D15" s="193">
        <v>30.0</v>
      </c>
      <c r="E15" s="193">
        <v>1.0</v>
      </c>
      <c r="F15" s="45">
        <v>40.0</v>
      </c>
      <c r="G15" s="32">
        <f t="shared" si="1"/>
        <v>40</v>
      </c>
      <c r="H15" s="30">
        <f t="shared" si="2"/>
        <v>50</v>
      </c>
      <c r="I15" s="43">
        <f t="shared" si="3"/>
        <v>65</v>
      </c>
      <c r="J15" s="43">
        <f t="shared" si="4"/>
        <v>68.25</v>
      </c>
      <c r="K15" s="43">
        <f t="shared" si="5"/>
        <v>78.4875</v>
      </c>
      <c r="L15" s="155"/>
      <c r="M15" s="155"/>
      <c r="N15" s="155"/>
      <c r="O15" s="8">
        <v>78.4875</v>
      </c>
      <c r="Q15" s="155"/>
    </row>
    <row r="16">
      <c r="A16" s="33"/>
      <c r="B16" s="184" t="s">
        <v>346</v>
      </c>
      <c r="C16" s="184" t="s">
        <v>338</v>
      </c>
      <c r="D16" s="185">
        <v>75.0</v>
      </c>
      <c r="E16" s="186">
        <v>1.0</v>
      </c>
      <c r="F16" s="37">
        <f>30/5</f>
        <v>6</v>
      </c>
      <c r="G16" s="54">
        <f t="shared" si="1"/>
        <v>6</v>
      </c>
      <c r="H16" s="55">
        <f t="shared" si="2"/>
        <v>7.5</v>
      </c>
      <c r="I16" s="14">
        <f t="shared" si="3"/>
        <v>9.75</v>
      </c>
      <c r="J16" s="14">
        <f t="shared" si="4"/>
        <v>10.2375</v>
      </c>
      <c r="K16" s="14">
        <f t="shared" si="5"/>
        <v>11.773125</v>
      </c>
      <c r="L16" s="153"/>
      <c r="M16" s="153"/>
      <c r="N16" s="153"/>
      <c r="O16" s="8">
        <v>11.773125</v>
      </c>
      <c r="Q16" s="153"/>
    </row>
    <row r="17">
      <c r="A17" s="156" t="s">
        <v>291</v>
      </c>
      <c r="B17" s="176" t="s">
        <v>347</v>
      </c>
      <c r="C17" s="176" t="s">
        <v>338</v>
      </c>
      <c r="D17" s="177">
        <v>60.0</v>
      </c>
      <c r="E17" s="178">
        <v>2.0</v>
      </c>
      <c r="F17" s="58">
        <v>239.68767187499998</v>
      </c>
      <c r="G17" s="81">
        <f t="shared" si="1"/>
        <v>479.3753438</v>
      </c>
      <c r="H17" s="82">
        <f t="shared" si="2"/>
        <v>599.2191797</v>
      </c>
      <c r="I17" s="82">
        <f t="shared" si="3"/>
        <v>778.9849336</v>
      </c>
      <c r="J17" s="82">
        <f t="shared" si="4"/>
        <v>817.9341803</v>
      </c>
      <c r="K17" s="82">
        <f t="shared" si="5"/>
        <v>940.6243073</v>
      </c>
      <c r="L17" s="88"/>
      <c r="M17" s="88">
        <f>K17+K18+K19+K20</f>
        <v>1060.317745</v>
      </c>
      <c r="N17" s="154">
        <v>1100.0</v>
      </c>
      <c r="O17" s="8">
        <v>940.624307314453</v>
      </c>
      <c r="Q17" s="88">
        <f>O17+O18+O19+O20</f>
        <v>1060.317745</v>
      </c>
    </row>
    <row r="18">
      <c r="A18" s="25"/>
      <c r="B18" s="181" t="s">
        <v>343</v>
      </c>
      <c r="C18" s="181" t="s">
        <v>338</v>
      </c>
      <c r="D18" s="182">
        <v>30.0</v>
      </c>
      <c r="E18" s="183">
        <v>1.0</v>
      </c>
      <c r="F18" s="32">
        <v>35.0</v>
      </c>
      <c r="G18" s="81">
        <f t="shared" si="1"/>
        <v>35</v>
      </c>
      <c r="H18" s="82">
        <f t="shared" si="2"/>
        <v>43.75</v>
      </c>
      <c r="I18" s="43">
        <f t="shared" si="3"/>
        <v>56.875</v>
      </c>
      <c r="J18" s="43">
        <f t="shared" si="4"/>
        <v>59.71875</v>
      </c>
      <c r="K18" s="43">
        <f t="shared" si="5"/>
        <v>68.6765625</v>
      </c>
      <c r="L18" s="155"/>
      <c r="M18" s="155"/>
      <c r="N18" s="155"/>
      <c r="O18" s="8">
        <v>68.6765625</v>
      </c>
      <c r="Q18" s="155"/>
    </row>
    <row r="19">
      <c r="A19" s="25"/>
      <c r="B19" s="181" t="s">
        <v>342</v>
      </c>
      <c r="C19" s="181" t="s">
        <v>338</v>
      </c>
      <c r="D19" s="182">
        <v>30.0</v>
      </c>
      <c r="E19" s="183">
        <v>1.0</v>
      </c>
      <c r="F19" s="32">
        <v>20.0</v>
      </c>
      <c r="G19" s="81">
        <f t="shared" si="1"/>
        <v>20</v>
      </c>
      <c r="H19" s="82">
        <f t="shared" si="2"/>
        <v>25</v>
      </c>
      <c r="I19" s="43">
        <f t="shared" si="3"/>
        <v>32.5</v>
      </c>
      <c r="J19" s="43">
        <f t="shared" si="4"/>
        <v>34.125</v>
      </c>
      <c r="K19" s="43">
        <f t="shared" si="5"/>
        <v>39.24375</v>
      </c>
      <c r="L19" s="155"/>
      <c r="M19" s="155"/>
      <c r="N19" s="155"/>
      <c r="O19" s="8">
        <v>39.24375</v>
      </c>
      <c r="Q19" s="155"/>
    </row>
    <row r="20">
      <c r="A20" s="33"/>
      <c r="B20" s="184" t="s">
        <v>346</v>
      </c>
      <c r="C20" s="184" t="s">
        <v>338</v>
      </c>
      <c r="D20" s="186">
        <v>12.5</v>
      </c>
      <c r="E20" s="186">
        <v>1.0</v>
      </c>
      <c r="F20" s="13">
        <v>6.0</v>
      </c>
      <c r="G20" s="54">
        <f t="shared" si="1"/>
        <v>6</v>
      </c>
      <c r="H20" s="55">
        <f t="shared" si="2"/>
        <v>7.5</v>
      </c>
      <c r="I20" s="14">
        <f t="shared" si="3"/>
        <v>9.75</v>
      </c>
      <c r="J20" s="14">
        <f t="shared" si="4"/>
        <v>10.2375</v>
      </c>
      <c r="K20" s="14">
        <f t="shared" si="5"/>
        <v>11.773125</v>
      </c>
      <c r="L20" s="153"/>
      <c r="M20" s="153"/>
      <c r="N20" s="153"/>
      <c r="O20" s="8">
        <v>11.773125</v>
      </c>
      <c r="Q20" s="153"/>
    </row>
    <row r="21">
      <c r="A21" s="149" t="s">
        <v>292</v>
      </c>
      <c r="B21" s="188" t="s">
        <v>348</v>
      </c>
      <c r="C21" s="176" t="s">
        <v>338</v>
      </c>
      <c r="D21" s="177">
        <v>60.0</v>
      </c>
      <c r="E21" s="178">
        <v>2.0</v>
      </c>
      <c r="F21" s="58">
        <v>88.70967741935483</v>
      </c>
      <c r="G21" s="81">
        <f t="shared" si="1"/>
        <v>177.4193548</v>
      </c>
      <c r="H21" s="82">
        <f t="shared" si="2"/>
        <v>221.7741935</v>
      </c>
      <c r="I21" s="82">
        <f t="shared" si="3"/>
        <v>288.3064516</v>
      </c>
      <c r="J21" s="82">
        <f t="shared" si="4"/>
        <v>302.7217742</v>
      </c>
      <c r="K21" s="82">
        <f t="shared" si="5"/>
        <v>348.1300403</v>
      </c>
      <c r="L21" s="88"/>
      <c r="M21" s="88">
        <f>K21+K22+K23+K24</f>
        <v>613.0253528</v>
      </c>
      <c r="N21" s="154">
        <v>650.0</v>
      </c>
      <c r="O21" s="8">
        <v>348.1300403225806</v>
      </c>
      <c r="Q21" s="88">
        <f>O21+O22+O23+O24</f>
        <v>613.0253528</v>
      </c>
    </row>
    <row r="22">
      <c r="A22" s="25"/>
      <c r="B22" s="181" t="s">
        <v>345</v>
      </c>
      <c r="C22" s="181" t="s">
        <v>338</v>
      </c>
      <c r="D22" s="182">
        <v>60.0</v>
      </c>
      <c r="E22" s="183">
        <v>2.0</v>
      </c>
      <c r="F22" s="32">
        <v>40.0</v>
      </c>
      <c r="G22" s="81">
        <f t="shared" si="1"/>
        <v>80</v>
      </c>
      <c r="H22" s="82">
        <f t="shared" si="2"/>
        <v>100</v>
      </c>
      <c r="I22" s="43">
        <f t="shared" si="3"/>
        <v>130</v>
      </c>
      <c r="J22" s="43">
        <f t="shared" si="4"/>
        <v>136.5</v>
      </c>
      <c r="K22" s="43">
        <f t="shared" si="5"/>
        <v>156.975</v>
      </c>
      <c r="L22" s="155"/>
      <c r="M22" s="155"/>
      <c r="N22" s="155"/>
      <c r="O22" s="8">
        <v>156.975</v>
      </c>
      <c r="Q22" s="155"/>
    </row>
    <row r="23">
      <c r="A23" s="25"/>
      <c r="B23" s="181" t="s">
        <v>349</v>
      </c>
      <c r="C23" s="181" t="s">
        <v>338</v>
      </c>
      <c r="D23" s="182">
        <v>30.0</v>
      </c>
      <c r="E23" s="183">
        <v>1.0</v>
      </c>
      <c r="F23" s="32">
        <v>35.0</v>
      </c>
      <c r="G23" s="81">
        <f t="shared" si="1"/>
        <v>35</v>
      </c>
      <c r="H23" s="82">
        <f t="shared" si="2"/>
        <v>43.75</v>
      </c>
      <c r="I23" s="43">
        <f t="shared" si="3"/>
        <v>56.875</v>
      </c>
      <c r="J23" s="43">
        <f t="shared" si="4"/>
        <v>59.71875</v>
      </c>
      <c r="K23" s="43">
        <f t="shared" si="5"/>
        <v>68.6765625</v>
      </c>
      <c r="L23" s="155"/>
      <c r="M23" s="155"/>
      <c r="N23" s="155"/>
      <c r="O23" s="8">
        <v>68.6765625</v>
      </c>
      <c r="Q23" s="155"/>
    </row>
    <row r="24">
      <c r="A24" s="33"/>
      <c r="B24" s="184" t="s">
        <v>342</v>
      </c>
      <c r="C24" s="184" t="s">
        <v>338</v>
      </c>
      <c r="D24" s="185">
        <v>30.0</v>
      </c>
      <c r="E24" s="186">
        <v>1.0</v>
      </c>
      <c r="F24" s="13">
        <v>20.0</v>
      </c>
      <c r="G24" s="54">
        <f t="shared" si="1"/>
        <v>20</v>
      </c>
      <c r="H24" s="55">
        <f t="shared" si="2"/>
        <v>25</v>
      </c>
      <c r="I24" s="14">
        <f t="shared" si="3"/>
        <v>32.5</v>
      </c>
      <c r="J24" s="14">
        <f t="shared" si="4"/>
        <v>34.125</v>
      </c>
      <c r="K24" s="14">
        <f t="shared" si="5"/>
        <v>39.24375</v>
      </c>
      <c r="L24" s="153"/>
      <c r="M24" s="153"/>
      <c r="N24" s="153"/>
      <c r="O24" s="8">
        <v>39.24375</v>
      </c>
      <c r="Q24" s="153"/>
    </row>
    <row r="25">
      <c r="A25" s="149" t="s">
        <v>293</v>
      </c>
      <c r="B25" s="176" t="s">
        <v>341</v>
      </c>
      <c r="C25" s="176" t="s">
        <v>16</v>
      </c>
      <c r="D25" s="177">
        <v>60.0</v>
      </c>
      <c r="E25" s="178">
        <v>2.0</v>
      </c>
      <c r="F25" s="22">
        <v>86.96</v>
      </c>
      <c r="G25" s="81">
        <f t="shared" si="1"/>
        <v>173.92</v>
      </c>
      <c r="H25" s="82">
        <f t="shared" si="2"/>
        <v>217.4</v>
      </c>
      <c r="I25" s="82">
        <f t="shared" si="3"/>
        <v>282.62</v>
      </c>
      <c r="J25" s="82">
        <f t="shared" si="4"/>
        <v>296.751</v>
      </c>
      <c r="K25" s="82">
        <f t="shared" si="5"/>
        <v>341.26365</v>
      </c>
      <c r="L25" s="152">
        <v>600.0</v>
      </c>
      <c r="M25" s="88">
        <f>K25+K26+K27+K28</f>
        <v>959.9655895</v>
      </c>
      <c r="N25" s="154">
        <v>1100.0</v>
      </c>
      <c r="O25" s="8">
        <v>341.2636499999999</v>
      </c>
      <c r="Q25" s="88">
        <f>O25+O26+O27+O28</f>
        <v>959.9655895</v>
      </c>
    </row>
    <row r="26">
      <c r="A26" s="25"/>
      <c r="B26" s="181" t="s">
        <v>340</v>
      </c>
      <c r="C26" s="181" t="s">
        <v>16</v>
      </c>
      <c r="D26" s="182">
        <v>30.0</v>
      </c>
      <c r="E26" s="183">
        <v>1.0</v>
      </c>
      <c r="F26" s="29">
        <v>215.31234375</v>
      </c>
      <c r="G26" s="81">
        <f t="shared" si="1"/>
        <v>215.3123438</v>
      </c>
      <c r="H26" s="82">
        <f t="shared" si="2"/>
        <v>269.1404297</v>
      </c>
      <c r="I26" s="43">
        <f t="shared" si="3"/>
        <v>349.8825586</v>
      </c>
      <c r="J26" s="43">
        <f t="shared" si="4"/>
        <v>367.3766865</v>
      </c>
      <c r="K26" s="43">
        <f t="shared" si="5"/>
        <v>422.4831895</v>
      </c>
      <c r="L26" s="155"/>
      <c r="M26" s="155"/>
      <c r="N26" s="155"/>
      <c r="O26" s="8">
        <v>422.4831895019531</v>
      </c>
      <c r="Q26" s="155"/>
    </row>
    <row r="27">
      <c r="A27" s="25"/>
      <c r="B27" s="181" t="s">
        <v>289</v>
      </c>
      <c r="C27" s="181" t="s">
        <v>16</v>
      </c>
      <c r="D27" s="62">
        <v>30.0</v>
      </c>
      <c r="E27" s="62">
        <v>1.0</v>
      </c>
      <c r="F27" s="32">
        <v>80.0</v>
      </c>
      <c r="G27" s="81">
        <f t="shared" si="1"/>
        <v>80</v>
      </c>
      <c r="H27" s="82">
        <f t="shared" si="2"/>
        <v>100</v>
      </c>
      <c r="I27" s="43">
        <f t="shared" si="3"/>
        <v>130</v>
      </c>
      <c r="J27" s="43">
        <f t="shared" si="4"/>
        <v>136.5</v>
      </c>
      <c r="K27" s="43">
        <f t="shared" si="5"/>
        <v>156.975</v>
      </c>
      <c r="L27" s="155"/>
      <c r="M27" s="155"/>
      <c r="N27" s="155"/>
      <c r="O27" s="8">
        <v>156.975</v>
      </c>
      <c r="Q27" s="155"/>
    </row>
    <row r="28">
      <c r="A28" s="33"/>
      <c r="B28" s="184" t="s">
        <v>342</v>
      </c>
      <c r="C28" s="184" t="s">
        <v>16</v>
      </c>
      <c r="D28" s="185">
        <v>15.0</v>
      </c>
      <c r="E28" s="186">
        <v>1.0</v>
      </c>
      <c r="F28" s="13">
        <v>20.0</v>
      </c>
      <c r="G28" s="54">
        <f t="shared" si="1"/>
        <v>20</v>
      </c>
      <c r="H28" s="55">
        <f t="shared" si="2"/>
        <v>25</v>
      </c>
      <c r="I28" s="14">
        <f t="shared" si="3"/>
        <v>32.5</v>
      </c>
      <c r="J28" s="14">
        <f t="shared" si="4"/>
        <v>34.125</v>
      </c>
      <c r="K28" s="14">
        <f t="shared" si="5"/>
        <v>39.24375</v>
      </c>
      <c r="L28" s="153"/>
      <c r="M28" s="153"/>
      <c r="N28" s="153"/>
      <c r="O28" s="8">
        <v>39.24375</v>
      </c>
      <c r="Q28" s="153"/>
    </row>
    <row r="29">
      <c r="A29" s="156" t="s">
        <v>294</v>
      </c>
      <c r="B29" s="176" t="s">
        <v>341</v>
      </c>
      <c r="C29" s="176" t="s">
        <v>16</v>
      </c>
      <c r="D29" s="177">
        <v>60.0</v>
      </c>
      <c r="E29" s="178">
        <v>2.0</v>
      </c>
      <c r="F29" s="22">
        <v>86.96</v>
      </c>
      <c r="G29" s="81">
        <f t="shared" si="1"/>
        <v>173.92</v>
      </c>
      <c r="H29" s="82">
        <f t="shared" si="2"/>
        <v>217.4</v>
      </c>
      <c r="I29" s="82">
        <f t="shared" si="3"/>
        <v>282.62</v>
      </c>
      <c r="J29" s="82">
        <f t="shared" si="4"/>
        <v>296.751</v>
      </c>
      <c r="K29" s="82">
        <f t="shared" si="5"/>
        <v>341.26365</v>
      </c>
      <c r="L29" s="88"/>
      <c r="M29" s="88">
        <f>K29+K30+K31+K32+K33</f>
        <v>1517.96266</v>
      </c>
      <c r="N29" s="154">
        <v>1550.0</v>
      </c>
      <c r="O29" s="8">
        <v>341.2636499999999</v>
      </c>
      <c r="Q29" s="88">
        <f>O29+O30+O31+O32+O33</f>
        <v>1517.96266</v>
      </c>
    </row>
    <row r="30">
      <c r="A30" s="25"/>
      <c r="B30" s="181" t="s">
        <v>340</v>
      </c>
      <c r="C30" s="181" t="s">
        <v>16</v>
      </c>
      <c r="D30" s="182">
        <v>30.0</v>
      </c>
      <c r="E30" s="183">
        <v>1.0</v>
      </c>
      <c r="F30" s="29">
        <v>215.31234375</v>
      </c>
      <c r="G30" s="81">
        <f t="shared" si="1"/>
        <v>215.3123438</v>
      </c>
      <c r="H30" s="82">
        <f t="shared" si="2"/>
        <v>269.1404297</v>
      </c>
      <c r="I30" s="43">
        <f t="shared" si="3"/>
        <v>349.8825586</v>
      </c>
      <c r="J30" s="43">
        <f t="shared" si="4"/>
        <v>367.3766865</v>
      </c>
      <c r="K30" s="43">
        <f t="shared" si="5"/>
        <v>422.4831895</v>
      </c>
      <c r="L30" s="155"/>
      <c r="M30" s="155"/>
      <c r="N30" s="155"/>
      <c r="O30" s="8">
        <v>422.4831895019531</v>
      </c>
      <c r="Q30" s="155"/>
    </row>
    <row r="31">
      <c r="A31" s="25"/>
      <c r="B31" s="181" t="s">
        <v>289</v>
      </c>
      <c r="C31" s="181" t="s">
        <v>16</v>
      </c>
      <c r="D31" s="62">
        <v>30.0</v>
      </c>
      <c r="E31" s="62">
        <v>1.0</v>
      </c>
      <c r="F31" s="32">
        <v>80.0</v>
      </c>
      <c r="G31" s="81">
        <f t="shared" si="1"/>
        <v>80</v>
      </c>
      <c r="H31" s="82">
        <f t="shared" si="2"/>
        <v>100</v>
      </c>
      <c r="I31" s="43">
        <f t="shared" si="3"/>
        <v>130</v>
      </c>
      <c r="J31" s="43">
        <f t="shared" si="4"/>
        <v>136.5</v>
      </c>
      <c r="K31" s="43">
        <f t="shared" si="5"/>
        <v>156.975</v>
      </c>
      <c r="L31" s="155"/>
      <c r="M31" s="155"/>
      <c r="N31" s="155"/>
      <c r="O31" s="8">
        <v>156.975</v>
      </c>
      <c r="Q31" s="155"/>
    </row>
    <row r="32">
      <c r="A32" s="25"/>
      <c r="B32" s="181" t="s">
        <v>342</v>
      </c>
      <c r="C32" s="181" t="s">
        <v>16</v>
      </c>
      <c r="D32" s="182">
        <v>15.0</v>
      </c>
      <c r="E32" s="183">
        <v>1.0</v>
      </c>
      <c r="F32" s="32">
        <v>20.0</v>
      </c>
      <c r="G32" s="81">
        <f t="shared" si="1"/>
        <v>20</v>
      </c>
      <c r="H32" s="82">
        <f t="shared" si="2"/>
        <v>25</v>
      </c>
      <c r="I32" s="43">
        <f t="shared" si="3"/>
        <v>32.5</v>
      </c>
      <c r="J32" s="43">
        <f t="shared" si="4"/>
        <v>34.125</v>
      </c>
      <c r="K32" s="43">
        <f t="shared" si="5"/>
        <v>39.24375</v>
      </c>
      <c r="L32" s="155"/>
      <c r="M32" s="155"/>
      <c r="N32" s="155"/>
      <c r="O32" s="8">
        <v>39.24375</v>
      </c>
      <c r="Q32" s="155"/>
    </row>
    <row r="33">
      <c r="A33" s="33"/>
      <c r="B33" s="194" t="s">
        <v>350</v>
      </c>
      <c r="C33" s="184"/>
      <c r="D33" s="186">
        <v>30.0</v>
      </c>
      <c r="E33" s="186">
        <v>1.0</v>
      </c>
      <c r="F33" s="37">
        <v>284.375</v>
      </c>
      <c r="G33" s="54">
        <f t="shared" si="1"/>
        <v>284.375</v>
      </c>
      <c r="H33" s="55">
        <f t="shared" si="2"/>
        <v>355.46875</v>
      </c>
      <c r="I33" s="14">
        <f t="shared" si="3"/>
        <v>462.109375</v>
      </c>
      <c r="J33" s="14">
        <f t="shared" si="4"/>
        <v>485.2148438</v>
      </c>
      <c r="K33" s="14">
        <f t="shared" si="5"/>
        <v>557.9970703</v>
      </c>
      <c r="L33" s="153"/>
      <c r="M33" s="153"/>
      <c r="N33" s="153"/>
      <c r="O33" s="8">
        <v>557.9970703125</v>
      </c>
      <c r="Q33" s="153"/>
    </row>
    <row r="34">
      <c r="A34" s="156" t="s">
        <v>295</v>
      </c>
      <c r="B34" s="176" t="s">
        <v>199</v>
      </c>
      <c r="C34" s="176" t="s">
        <v>16</v>
      </c>
      <c r="D34" s="177">
        <v>60.0</v>
      </c>
      <c r="E34" s="178">
        <v>2.0</v>
      </c>
      <c r="F34" s="58">
        <v>86.95652173913044</v>
      </c>
      <c r="G34" s="81">
        <f t="shared" si="1"/>
        <v>173.9130435</v>
      </c>
      <c r="H34" s="82">
        <f t="shared" si="2"/>
        <v>217.3913043</v>
      </c>
      <c r="I34" s="82">
        <f t="shared" si="3"/>
        <v>282.6086957</v>
      </c>
      <c r="J34" s="82">
        <f t="shared" si="4"/>
        <v>296.7391304</v>
      </c>
      <c r="K34" s="82">
        <f t="shared" si="5"/>
        <v>341.25</v>
      </c>
      <c r="L34" s="152">
        <v>500.0</v>
      </c>
      <c r="M34" s="88">
        <f>K34+K35+K36+K37</f>
        <v>606.1453125</v>
      </c>
      <c r="N34" s="154">
        <v>650.0</v>
      </c>
      <c r="O34" s="8">
        <v>341.25</v>
      </c>
      <c r="Q34" s="88">
        <f>O34+O35+O36+O37</f>
        <v>606.1453125</v>
      </c>
    </row>
    <row r="35">
      <c r="A35" s="25"/>
      <c r="B35" s="181" t="s">
        <v>351</v>
      </c>
      <c r="C35" s="181" t="s">
        <v>16</v>
      </c>
      <c r="D35" s="183">
        <v>60.0</v>
      </c>
      <c r="E35" s="183">
        <v>2.0</v>
      </c>
      <c r="F35" s="32">
        <v>40.0</v>
      </c>
      <c r="G35" s="81">
        <f t="shared" si="1"/>
        <v>80</v>
      </c>
      <c r="H35" s="82">
        <f t="shared" si="2"/>
        <v>100</v>
      </c>
      <c r="I35" s="43">
        <f t="shared" si="3"/>
        <v>130</v>
      </c>
      <c r="J35" s="43">
        <f t="shared" si="4"/>
        <v>136.5</v>
      </c>
      <c r="K35" s="43">
        <f t="shared" si="5"/>
        <v>156.975</v>
      </c>
      <c r="L35" s="155"/>
      <c r="M35" s="155"/>
      <c r="N35" s="155"/>
      <c r="O35" s="8">
        <v>156.975</v>
      </c>
      <c r="Q35" s="155"/>
    </row>
    <row r="36">
      <c r="A36" s="25"/>
      <c r="B36" s="181" t="s">
        <v>343</v>
      </c>
      <c r="C36" s="181" t="s">
        <v>16</v>
      </c>
      <c r="D36" s="182">
        <v>30.0</v>
      </c>
      <c r="E36" s="183">
        <v>1.0</v>
      </c>
      <c r="F36" s="32">
        <v>35.0</v>
      </c>
      <c r="G36" s="81">
        <f t="shared" si="1"/>
        <v>35</v>
      </c>
      <c r="H36" s="82">
        <f t="shared" si="2"/>
        <v>43.75</v>
      </c>
      <c r="I36" s="43">
        <f t="shared" si="3"/>
        <v>56.875</v>
      </c>
      <c r="J36" s="43">
        <f t="shared" si="4"/>
        <v>59.71875</v>
      </c>
      <c r="K36" s="43">
        <f t="shared" si="5"/>
        <v>68.6765625</v>
      </c>
      <c r="L36" s="155"/>
      <c r="M36" s="155"/>
      <c r="N36" s="155"/>
      <c r="O36" s="8">
        <v>68.6765625</v>
      </c>
      <c r="Q36" s="155"/>
    </row>
    <row r="37">
      <c r="A37" s="33"/>
      <c r="B37" s="184" t="s">
        <v>342</v>
      </c>
      <c r="C37" s="184" t="s">
        <v>16</v>
      </c>
      <c r="D37" s="185">
        <v>30.0</v>
      </c>
      <c r="E37" s="186">
        <v>1.0</v>
      </c>
      <c r="F37" s="13">
        <v>20.0</v>
      </c>
      <c r="G37" s="54">
        <f t="shared" si="1"/>
        <v>20</v>
      </c>
      <c r="H37" s="55">
        <f t="shared" si="2"/>
        <v>25</v>
      </c>
      <c r="I37" s="14">
        <f t="shared" si="3"/>
        <v>32.5</v>
      </c>
      <c r="J37" s="14">
        <f t="shared" si="4"/>
        <v>34.125</v>
      </c>
      <c r="K37" s="14">
        <f t="shared" si="5"/>
        <v>39.24375</v>
      </c>
      <c r="L37" s="153"/>
      <c r="M37" s="153"/>
      <c r="N37" s="153"/>
      <c r="O37" s="8">
        <v>39.24375</v>
      </c>
      <c r="Q37" s="153"/>
    </row>
    <row r="38">
      <c r="A38" s="156" t="s">
        <v>296</v>
      </c>
      <c r="B38" s="188" t="s">
        <v>352</v>
      </c>
      <c r="C38" s="176" t="s">
        <v>16</v>
      </c>
      <c r="D38" s="177">
        <v>60.0</v>
      </c>
      <c r="E38" s="178">
        <v>2.0</v>
      </c>
      <c r="F38" s="58">
        <v>239.68767187499998</v>
      </c>
      <c r="G38" s="81">
        <f t="shared" si="1"/>
        <v>479.3753438</v>
      </c>
      <c r="H38" s="82">
        <f t="shared" si="2"/>
        <v>599.2191797</v>
      </c>
      <c r="I38" s="82">
        <f t="shared" si="3"/>
        <v>778.9849336</v>
      </c>
      <c r="J38" s="82">
        <f t="shared" si="4"/>
        <v>817.9341803</v>
      </c>
      <c r="K38" s="82">
        <f t="shared" si="5"/>
        <v>940.6243073</v>
      </c>
      <c r="L38" s="88"/>
      <c r="M38" s="88">
        <f>K38+K39+K40+K41</f>
        <v>1136.843057</v>
      </c>
      <c r="N38" s="154">
        <v>1200.0</v>
      </c>
      <c r="O38" s="8">
        <v>940.624307314453</v>
      </c>
      <c r="Q38" s="88">
        <f>O38+O39+O40+O41</f>
        <v>1136.843057</v>
      </c>
    </row>
    <row r="39">
      <c r="A39" s="25"/>
      <c r="B39" s="181" t="s">
        <v>351</v>
      </c>
      <c r="C39" s="181" t="s">
        <v>16</v>
      </c>
      <c r="D39" s="182">
        <v>30.0</v>
      </c>
      <c r="E39" s="183">
        <v>1.0</v>
      </c>
      <c r="F39" s="32">
        <v>40.0</v>
      </c>
      <c r="G39" s="81">
        <f t="shared" si="1"/>
        <v>40</v>
      </c>
      <c r="H39" s="82">
        <f t="shared" si="2"/>
        <v>50</v>
      </c>
      <c r="I39" s="43">
        <f t="shared" si="3"/>
        <v>65</v>
      </c>
      <c r="J39" s="43">
        <f t="shared" si="4"/>
        <v>68.25</v>
      </c>
      <c r="K39" s="43">
        <f t="shared" si="5"/>
        <v>78.4875</v>
      </c>
      <c r="L39" s="155"/>
      <c r="M39" s="155"/>
      <c r="N39" s="155"/>
      <c r="O39" s="8">
        <v>78.4875</v>
      </c>
      <c r="Q39" s="155"/>
    </row>
    <row r="40">
      <c r="A40" s="25"/>
      <c r="B40" s="181" t="s">
        <v>343</v>
      </c>
      <c r="C40" s="181" t="s">
        <v>16</v>
      </c>
      <c r="D40" s="182">
        <v>30.0</v>
      </c>
      <c r="E40" s="183">
        <v>1.0</v>
      </c>
      <c r="F40" s="32">
        <v>40.0</v>
      </c>
      <c r="G40" s="81">
        <f t="shared" si="1"/>
        <v>40</v>
      </c>
      <c r="H40" s="82">
        <f t="shared" si="2"/>
        <v>50</v>
      </c>
      <c r="I40" s="43">
        <f t="shared" si="3"/>
        <v>65</v>
      </c>
      <c r="J40" s="43">
        <f t="shared" si="4"/>
        <v>68.25</v>
      </c>
      <c r="K40" s="43">
        <f t="shared" si="5"/>
        <v>78.4875</v>
      </c>
      <c r="L40" s="155"/>
      <c r="M40" s="155"/>
      <c r="N40" s="155"/>
      <c r="O40" s="8">
        <v>78.4875</v>
      </c>
      <c r="Q40" s="155"/>
    </row>
    <row r="41">
      <c r="A41" s="33"/>
      <c r="B41" s="184" t="s">
        <v>342</v>
      </c>
      <c r="C41" s="184" t="s">
        <v>16</v>
      </c>
      <c r="D41" s="185">
        <v>30.0</v>
      </c>
      <c r="E41" s="186">
        <v>1.0</v>
      </c>
      <c r="F41" s="13">
        <v>20.0</v>
      </c>
      <c r="G41" s="54">
        <f t="shared" si="1"/>
        <v>20</v>
      </c>
      <c r="H41" s="55">
        <f t="shared" si="2"/>
        <v>25</v>
      </c>
      <c r="I41" s="14">
        <f t="shared" si="3"/>
        <v>32.5</v>
      </c>
      <c r="J41" s="14">
        <f t="shared" si="4"/>
        <v>34.125</v>
      </c>
      <c r="K41" s="14">
        <f t="shared" si="5"/>
        <v>39.24375</v>
      </c>
      <c r="L41" s="153"/>
      <c r="M41" s="153"/>
      <c r="N41" s="153"/>
      <c r="O41" s="8">
        <v>39.24375</v>
      </c>
      <c r="Q41" s="153"/>
    </row>
    <row r="42">
      <c r="A42" s="149" t="s">
        <v>297</v>
      </c>
      <c r="B42" s="176" t="s">
        <v>347</v>
      </c>
      <c r="C42" s="176" t="s">
        <v>16</v>
      </c>
      <c r="D42" s="177">
        <v>60.0</v>
      </c>
      <c r="E42" s="178">
        <v>2.0</v>
      </c>
      <c r="F42" s="58">
        <v>239.68767187499998</v>
      </c>
      <c r="G42" s="81">
        <f t="shared" si="1"/>
        <v>479.3753438</v>
      </c>
      <c r="H42" s="82">
        <f t="shared" si="2"/>
        <v>599.2191797</v>
      </c>
      <c r="I42" s="82">
        <f t="shared" si="3"/>
        <v>778.9849336</v>
      </c>
      <c r="J42" s="82">
        <f t="shared" si="4"/>
        <v>817.9341803</v>
      </c>
      <c r="K42" s="82">
        <f t="shared" si="5"/>
        <v>940.6243073</v>
      </c>
      <c r="L42" s="88"/>
      <c r="M42" s="88">
        <f>K42+K43+K44+K45+K46+K47</f>
        <v>1220.236026</v>
      </c>
      <c r="N42" s="154">
        <v>1250.0</v>
      </c>
      <c r="O42" s="8">
        <v>940.624307314453</v>
      </c>
      <c r="Q42" s="88">
        <f>O42+O43+O44+O45+O46+O47</f>
        <v>1220.236026</v>
      </c>
    </row>
    <row r="43">
      <c r="A43" s="25"/>
      <c r="B43" s="181" t="s">
        <v>343</v>
      </c>
      <c r="C43" s="181" t="s">
        <v>16</v>
      </c>
      <c r="D43" s="182">
        <v>30.0</v>
      </c>
      <c r="E43" s="183">
        <v>1.0</v>
      </c>
      <c r="F43" s="32">
        <v>35.0</v>
      </c>
      <c r="G43" s="81">
        <f t="shared" si="1"/>
        <v>35</v>
      </c>
      <c r="H43" s="82">
        <f t="shared" si="2"/>
        <v>43.75</v>
      </c>
      <c r="I43" s="43">
        <f t="shared" si="3"/>
        <v>56.875</v>
      </c>
      <c r="J43" s="43">
        <f t="shared" si="4"/>
        <v>59.71875</v>
      </c>
      <c r="K43" s="43">
        <f t="shared" si="5"/>
        <v>68.6765625</v>
      </c>
      <c r="L43" s="155"/>
      <c r="M43" s="155"/>
      <c r="N43" s="155"/>
      <c r="O43" s="8">
        <v>68.6765625</v>
      </c>
      <c r="Q43" s="155"/>
    </row>
    <row r="44">
      <c r="A44" s="25"/>
      <c r="B44" s="181" t="s">
        <v>345</v>
      </c>
      <c r="C44" s="181" t="s">
        <v>16</v>
      </c>
      <c r="D44" s="183">
        <v>15.0</v>
      </c>
      <c r="E44" s="183">
        <v>1.0</v>
      </c>
      <c r="F44" s="32">
        <v>40.0</v>
      </c>
      <c r="G44" s="81">
        <f t="shared" si="1"/>
        <v>40</v>
      </c>
      <c r="H44" s="82">
        <f t="shared" si="2"/>
        <v>50</v>
      </c>
      <c r="I44" s="43">
        <f t="shared" si="3"/>
        <v>65</v>
      </c>
      <c r="J44" s="43">
        <f t="shared" si="4"/>
        <v>68.25</v>
      </c>
      <c r="K44" s="43">
        <f t="shared" si="5"/>
        <v>78.4875</v>
      </c>
      <c r="L44" s="155"/>
      <c r="M44" s="155"/>
      <c r="N44" s="155"/>
      <c r="O44" s="8">
        <v>78.4875</v>
      </c>
      <c r="Q44" s="155"/>
    </row>
    <row r="45">
      <c r="A45" s="25"/>
      <c r="B45" s="191" t="s">
        <v>344</v>
      </c>
      <c r="C45" s="181" t="s">
        <v>16</v>
      </c>
      <c r="D45" s="183">
        <v>15.0</v>
      </c>
      <c r="E45" s="183">
        <v>1.0</v>
      </c>
      <c r="F45" s="32">
        <v>40.0</v>
      </c>
      <c r="G45" s="81">
        <f t="shared" si="1"/>
        <v>40</v>
      </c>
      <c r="H45" s="82">
        <f t="shared" si="2"/>
        <v>50</v>
      </c>
      <c r="I45" s="43">
        <f t="shared" si="3"/>
        <v>65</v>
      </c>
      <c r="J45" s="43">
        <f t="shared" si="4"/>
        <v>68.25</v>
      </c>
      <c r="K45" s="43">
        <f t="shared" si="5"/>
        <v>78.4875</v>
      </c>
      <c r="L45" s="155"/>
      <c r="M45" s="155"/>
      <c r="N45" s="155"/>
      <c r="O45" s="8">
        <v>78.4875</v>
      </c>
      <c r="Q45" s="155"/>
    </row>
    <row r="46">
      <c r="A46" s="25"/>
      <c r="B46" s="181" t="s">
        <v>342</v>
      </c>
      <c r="C46" s="181" t="s">
        <v>16</v>
      </c>
      <c r="D46" s="182">
        <v>30.0</v>
      </c>
      <c r="E46" s="183">
        <v>1.0</v>
      </c>
      <c r="F46" s="32">
        <v>20.0</v>
      </c>
      <c r="G46" s="81">
        <f t="shared" si="1"/>
        <v>20</v>
      </c>
      <c r="H46" s="82">
        <f t="shared" si="2"/>
        <v>25</v>
      </c>
      <c r="I46" s="43">
        <f t="shared" si="3"/>
        <v>32.5</v>
      </c>
      <c r="J46" s="43">
        <f t="shared" si="4"/>
        <v>34.125</v>
      </c>
      <c r="K46" s="43">
        <f t="shared" si="5"/>
        <v>39.24375</v>
      </c>
      <c r="L46" s="155"/>
      <c r="M46" s="155"/>
      <c r="N46" s="155"/>
      <c r="O46" s="8">
        <v>39.24375</v>
      </c>
      <c r="Q46" s="155"/>
    </row>
    <row r="47">
      <c r="A47" s="33"/>
      <c r="B47" s="184" t="s">
        <v>346</v>
      </c>
      <c r="C47" s="184" t="s">
        <v>16</v>
      </c>
      <c r="D47" s="185">
        <v>75.0</v>
      </c>
      <c r="E47" s="186">
        <v>1.0</v>
      </c>
      <c r="F47" s="37">
        <f>30/4</f>
        <v>7.5</v>
      </c>
      <c r="G47" s="54">
        <f t="shared" si="1"/>
        <v>7.5</v>
      </c>
      <c r="H47" s="55">
        <f t="shared" si="2"/>
        <v>9.375</v>
      </c>
      <c r="I47" s="14">
        <f t="shared" si="3"/>
        <v>12.1875</v>
      </c>
      <c r="J47" s="14">
        <f t="shared" si="4"/>
        <v>12.796875</v>
      </c>
      <c r="K47" s="14">
        <f t="shared" si="5"/>
        <v>14.71640625</v>
      </c>
      <c r="L47" s="153"/>
      <c r="M47" s="153"/>
      <c r="N47" s="153"/>
      <c r="O47" s="8">
        <v>14.71640625</v>
      </c>
      <c r="Q47" s="153"/>
    </row>
    <row r="48">
      <c r="A48" s="149" t="s">
        <v>298</v>
      </c>
      <c r="B48" s="176" t="s">
        <v>199</v>
      </c>
      <c r="C48" s="176" t="s">
        <v>16</v>
      </c>
      <c r="D48" s="177">
        <v>60.0</v>
      </c>
      <c r="E48" s="178">
        <v>2.0</v>
      </c>
      <c r="F48" s="58">
        <v>86.95652173913044</v>
      </c>
      <c r="G48" s="81">
        <f t="shared" si="1"/>
        <v>173.9130435</v>
      </c>
      <c r="H48" s="82">
        <f t="shared" si="2"/>
        <v>217.3913043</v>
      </c>
      <c r="I48" s="82">
        <f t="shared" si="3"/>
        <v>282.6086957</v>
      </c>
      <c r="J48" s="82">
        <f t="shared" si="4"/>
        <v>296.7391304</v>
      </c>
      <c r="K48" s="82">
        <f t="shared" si="5"/>
        <v>341.25</v>
      </c>
      <c r="L48" s="152">
        <v>700.0</v>
      </c>
      <c r="M48" s="88">
        <f>K48+K49+K50+K51</f>
        <v>703.3553516</v>
      </c>
      <c r="N48" s="154">
        <v>800.0</v>
      </c>
      <c r="O48" s="8">
        <v>341.25</v>
      </c>
      <c r="Q48" s="88">
        <f>O48+O49+O50+O51</f>
        <v>703.3553516</v>
      </c>
    </row>
    <row r="49">
      <c r="A49" s="25"/>
      <c r="B49" s="181" t="s">
        <v>353</v>
      </c>
      <c r="C49" s="181" t="s">
        <v>16</v>
      </c>
      <c r="D49" s="182">
        <v>30.0</v>
      </c>
      <c r="E49" s="183">
        <v>1.0</v>
      </c>
      <c r="F49" s="29">
        <v>129.54166666666666</v>
      </c>
      <c r="G49" s="81">
        <f t="shared" si="1"/>
        <v>129.5416667</v>
      </c>
      <c r="H49" s="82">
        <f t="shared" si="2"/>
        <v>161.9270833</v>
      </c>
      <c r="I49" s="43">
        <f t="shared" si="3"/>
        <v>210.5052083</v>
      </c>
      <c r="J49" s="43">
        <f t="shared" si="4"/>
        <v>221.0304688</v>
      </c>
      <c r="K49" s="43">
        <f t="shared" si="5"/>
        <v>254.1850391</v>
      </c>
      <c r="L49" s="155"/>
      <c r="M49" s="155"/>
      <c r="N49" s="155"/>
      <c r="O49" s="8">
        <v>254.18503906249998</v>
      </c>
      <c r="Q49" s="155"/>
    </row>
    <row r="50">
      <c r="A50" s="25"/>
      <c r="B50" s="181" t="s">
        <v>343</v>
      </c>
      <c r="C50" s="181" t="s">
        <v>16</v>
      </c>
      <c r="D50" s="182">
        <v>30.0</v>
      </c>
      <c r="E50" s="183">
        <v>1.0</v>
      </c>
      <c r="F50" s="32">
        <v>35.0</v>
      </c>
      <c r="G50" s="81">
        <f t="shared" si="1"/>
        <v>35</v>
      </c>
      <c r="H50" s="82">
        <f t="shared" si="2"/>
        <v>43.75</v>
      </c>
      <c r="I50" s="43">
        <f t="shared" si="3"/>
        <v>56.875</v>
      </c>
      <c r="J50" s="43">
        <f t="shared" si="4"/>
        <v>59.71875</v>
      </c>
      <c r="K50" s="43">
        <f t="shared" si="5"/>
        <v>68.6765625</v>
      </c>
      <c r="L50" s="155"/>
      <c r="M50" s="155"/>
      <c r="N50" s="155"/>
      <c r="O50" s="8">
        <v>68.6765625</v>
      </c>
      <c r="Q50" s="155"/>
    </row>
    <row r="51">
      <c r="A51" s="33"/>
      <c r="B51" s="184" t="s">
        <v>342</v>
      </c>
      <c r="C51" s="184" t="s">
        <v>16</v>
      </c>
      <c r="D51" s="185">
        <v>30.0</v>
      </c>
      <c r="E51" s="186">
        <v>1.0</v>
      </c>
      <c r="F51" s="13">
        <v>20.0</v>
      </c>
      <c r="G51" s="54">
        <f t="shared" si="1"/>
        <v>20</v>
      </c>
      <c r="H51" s="55">
        <f t="shared" si="2"/>
        <v>25</v>
      </c>
      <c r="I51" s="14">
        <f t="shared" si="3"/>
        <v>32.5</v>
      </c>
      <c r="J51" s="14">
        <f t="shared" si="4"/>
        <v>34.125</v>
      </c>
      <c r="K51" s="14">
        <f t="shared" si="5"/>
        <v>39.24375</v>
      </c>
      <c r="L51" s="153"/>
      <c r="M51" s="153"/>
      <c r="N51" s="153"/>
      <c r="O51" s="8">
        <v>39.24375</v>
      </c>
      <c r="Q51" s="153"/>
    </row>
    <row r="52">
      <c r="A52" s="156" t="s">
        <v>299</v>
      </c>
      <c r="B52" s="176" t="s">
        <v>199</v>
      </c>
      <c r="C52" s="176" t="s">
        <v>16</v>
      </c>
      <c r="D52" s="177">
        <v>60.0</v>
      </c>
      <c r="E52" s="178">
        <v>2.0</v>
      </c>
      <c r="F52" s="58">
        <v>86.95652173913044</v>
      </c>
      <c r="G52" s="81">
        <f t="shared" si="1"/>
        <v>173.9130435</v>
      </c>
      <c r="H52" s="82">
        <f t="shared" si="2"/>
        <v>217.3913043</v>
      </c>
      <c r="I52" s="82">
        <f t="shared" si="3"/>
        <v>282.6086957</v>
      </c>
      <c r="J52" s="82">
        <f t="shared" si="4"/>
        <v>296.7391304</v>
      </c>
      <c r="K52" s="82">
        <f t="shared" si="5"/>
        <v>341.25</v>
      </c>
      <c r="L52" s="152">
        <v>500.0</v>
      </c>
      <c r="M52" s="88">
        <f>K52+K53+K54+K55</f>
        <v>508.0359375</v>
      </c>
      <c r="N52" s="154">
        <v>650.0</v>
      </c>
      <c r="O52" s="8">
        <v>341.25</v>
      </c>
      <c r="Q52" s="88">
        <f>O52+O53+O54+O55</f>
        <v>508.0359375</v>
      </c>
    </row>
    <row r="53">
      <c r="A53" s="25"/>
      <c r="B53" s="181" t="s">
        <v>343</v>
      </c>
      <c r="C53" s="181" t="s">
        <v>16</v>
      </c>
      <c r="D53" s="182">
        <v>30.0</v>
      </c>
      <c r="E53" s="183">
        <v>1.0</v>
      </c>
      <c r="F53" s="32">
        <v>35.0</v>
      </c>
      <c r="G53" s="81">
        <f t="shared" si="1"/>
        <v>35</v>
      </c>
      <c r="H53" s="82">
        <f t="shared" si="2"/>
        <v>43.75</v>
      </c>
      <c r="I53" s="43">
        <f t="shared" si="3"/>
        <v>56.875</v>
      </c>
      <c r="J53" s="43">
        <f t="shared" si="4"/>
        <v>59.71875</v>
      </c>
      <c r="K53" s="43">
        <f t="shared" si="5"/>
        <v>68.6765625</v>
      </c>
      <c r="L53" s="155"/>
      <c r="M53" s="155"/>
      <c r="N53" s="155"/>
      <c r="O53" s="8">
        <v>68.6765625</v>
      </c>
      <c r="Q53" s="155"/>
    </row>
    <row r="54">
      <c r="A54" s="25"/>
      <c r="B54" s="181" t="s">
        <v>342</v>
      </c>
      <c r="C54" s="181" t="s">
        <v>16</v>
      </c>
      <c r="D54" s="182">
        <v>30.0</v>
      </c>
      <c r="E54" s="183">
        <v>1.0</v>
      </c>
      <c r="F54" s="32">
        <v>20.0</v>
      </c>
      <c r="G54" s="81">
        <f t="shared" si="1"/>
        <v>20</v>
      </c>
      <c r="H54" s="82">
        <f t="shared" si="2"/>
        <v>25</v>
      </c>
      <c r="I54" s="43">
        <f t="shared" si="3"/>
        <v>32.5</v>
      </c>
      <c r="J54" s="43">
        <f t="shared" si="4"/>
        <v>34.125</v>
      </c>
      <c r="K54" s="43">
        <f t="shared" si="5"/>
        <v>39.24375</v>
      </c>
      <c r="L54" s="155"/>
      <c r="M54" s="155"/>
      <c r="N54" s="155"/>
      <c r="O54" s="8">
        <v>39.24375</v>
      </c>
      <c r="Q54" s="155"/>
    </row>
    <row r="55">
      <c r="A55" s="33"/>
      <c r="B55" s="184" t="s">
        <v>354</v>
      </c>
      <c r="C55" s="194" t="s">
        <v>355</v>
      </c>
      <c r="D55" s="47">
        <v>1.0</v>
      </c>
      <c r="E55" s="47">
        <v>1.0</v>
      </c>
      <c r="F55" s="13">
        <v>30.0</v>
      </c>
      <c r="G55" s="54">
        <f t="shared" si="1"/>
        <v>30</v>
      </c>
      <c r="H55" s="55">
        <f t="shared" si="2"/>
        <v>37.5</v>
      </c>
      <c r="I55" s="14">
        <f t="shared" si="3"/>
        <v>48.75</v>
      </c>
      <c r="J55" s="14">
        <f t="shared" si="4"/>
        <v>51.1875</v>
      </c>
      <c r="K55" s="14">
        <f t="shared" si="5"/>
        <v>58.865625</v>
      </c>
      <c r="L55" s="153"/>
      <c r="M55" s="153"/>
      <c r="N55" s="153"/>
      <c r="O55" s="8">
        <v>58.865625</v>
      </c>
      <c r="Q55" s="153"/>
    </row>
    <row r="56">
      <c r="A56" s="156" t="s">
        <v>300</v>
      </c>
      <c r="B56" s="176" t="s">
        <v>199</v>
      </c>
      <c r="C56" s="176" t="s">
        <v>16</v>
      </c>
      <c r="D56" s="177">
        <v>60.0</v>
      </c>
      <c r="E56" s="178">
        <v>2.0</v>
      </c>
      <c r="F56" s="58">
        <v>86.95652173913044</v>
      </c>
      <c r="G56" s="81">
        <f t="shared" si="1"/>
        <v>173.9130435</v>
      </c>
      <c r="H56" s="195">
        <f t="shared" si="2"/>
        <v>217.3913043</v>
      </c>
      <c r="I56" s="195">
        <f t="shared" si="3"/>
        <v>282.6086957</v>
      </c>
      <c r="J56" s="195">
        <f t="shared" si="4"/>
        <v>296.7391304</v>
      </c>
      <c r="K56" s="195">
        <f t="shared" si="5"/>
        <v>341.25</v>
      </c>
      <c r="L56" s="152">
        <v>500.0</v>
      </c>
      <c r="M56" s="88">
        <f>K56+K57+K58</f>
        <v>449.1703125</v>
      </c>
      <c r="N56" s="196">
        <v>650.0</v>
      </c>
      <c r="O56" s="8">
        <v>341.25</v>
      </c>
      <c r="Q56" s="88">
        <f>O56+O57+O58</f>
        <v>449.1703125</v>
      </c>
    </row>
    <row r="57">
      <c r="A57" s="25"/>
      <c r="B57" s="181" t="s">
        <v>343</v>
      </c>
      <c r="C57" s="181" t="s">
        <v>16</v>
      </c>
      <c r="D57" s="182">
        <v>30.0</v>
      </c>
      <c r="E57" s="183">
        <v>1.0</v>
      </c>
      <c r="F57" s="32">
        <v>35.0</v>
      </c>
      <c r="G57" s="81">
        <f t="shared" si="1"/>
        <v>35</v>
      </c>
      <c r="H57" s="195">
        <f t="shared" si="2"/>
        <v>43.75</v>
      </c>
      <c r="I57" s="197">
        <f t="shared" si="3"/>
        <v>56.875</v>
      </c>
      <c r="J57" s="197">
        <f t="shared" si="4"/>
        <v>59.71875</v>
      </c>
      <c r="K57" s="197">
        <f t="shared" si="5"/>
        <v>68.6765625</v>
      </c>
      <c r="L57" s="155"/>
      <c r="M57" s="155"/>
      <c r="N57" s="155"/>
      <c r="O57" s="8">
        <v>68.6765625</v>
      </c>
      <c r="Q57" s="155"/>
    </row>
    <row r="58">
      <c r="A58" s="33"/>
      <c r="B58" s="184" t="s">
        <v>342</v>
      </c>
      <c r="C58" s="184" t="s">
        <v>16</v>
      </c>
      <c r="D58" s="185">
        <v>30.0</v>
      </c>
      <c r="E58" s="186">
        <v>1.0</v>
      </c>
      <c r="F58" s="13">
        <v>20.0</v>
      </c>
      <c r="G58" s="54">
        <f t="shared" si="1"/>
        <v>20</v>
      </c>
      <c r="H58" s="198">
        <f t="shared" si="2"/>
        <v>25</v>
      </c>
      <c r="I58" s="199">
        <f t="shared" si="3"/>
        <v>32.5</v>
      </c>
      <c r="J58" s="199">
        <f t="shared" si="4"/>
        <v>34.125</v>
      </c>
      <c r="K58" s="199">
        <f t="shared" si="5"/>
        <v>39.24375</v>
      </c>
      <c r="L58" s="153"/>
      <c r="M58" s="153"/>
      <c r="N58" s="153"/>
      <c r="O58" s="8">
        <v>39.24375</v>
      </c>
      <c r="Q58" s="153"/>
    </row>
    <row r="59">
      <c r="A59" s="149" t="s">
        <v>301</v>
      </c>
      <c r="B59" s="188" t="s">
        <v>356</v>
      </c>
      <c r="C59" s="176" t="s">
        <v>16</v>
      </c>
      <c r="D59" s="177">
        <v>30.0</v>
      </c>
      <c r="E59" s="178">
        <v>1.0</v>
      </c>
      <c r="F59" s="58">
        <v>156.25</v>
      </c>
      <c r="G59" s="81">
        <f t="shared" si="1"/>
        <v>156.25</v>
      </c>
      <c r="H59" s="82">
        <f t="shared" si="2"/>
        <v>195.3125</v>
      </c>
      <c r="I59" s="82">
        <f t="shared" si="3"/>
        <v>253.90625</v>
      </c>
      <c r="J59" s="82">
        <f t="shared" si="4"/>
        <v>266.6015625</v>
      </c>
      <c r="K59" s="82">
        <f t="shared" si="5"/>
        <v>306.5917969</v>
      </c>
      <c r="L59" s="152">
        <v>1500.0</v>
      </c>
      <c r="M59" s="88">
        <f>K59+K60+K61+K62+K63+K64</f>
        <v>1144.110874</v>
      </c>
      <c r="N59" s="154">
        <v>1700.0</v>
      </c>
      <c r="O59" s="8">
        <v>306.591796875</v>
      </c>
      <c r="Q59" s="88">
        <f>O59+O60+O61+O62+O63+O64</f>
        <v>1144.110874</v>
      </c>
    </row>
    <row r="60">
      <c r="A60" s="25"/>
      <c r="B60" s="112" t="s">
        <v>357</v>
      </c>
      <c r="C60" s="112" t="s">
        <v>16</v>
      </c>
      <c r="D60" s="182">
        <v>30.0</v>
      </c>
      <c r="E60" s="183">
        <v>1.0</v>
      </c>
      <c r="F60" s="29">
        <v>156.70308064516126</v>
      </c>
      <c r="G60" s="81">
        <f t="shared" si="1"/>
        <v>156.7030806</v>
      </c>
      <c r="H60" s="82">
        <f t="shared" si="2"/>
        <v>195.8788508</v>
      </c>
      <c r="I60" s="43">
        <f t="shared" si="3"/>
        <v>254.642506</v>
      </c>
      <c r="J60" s="43">
        <f t="shared" si="4"/>
        <v>267.3746314</v>
      </c>
      <c r="K60" s="43">
        <f t="shared" si="5"/>
        <v>307.4808261</v>
      </c>
      <c r="L60" s="155"/>
      <c r="M60" s="155"/>
      <c r="N60" s="155"/>
      <c r="O60" s="8">
        <v>307.48082605342734</v>
      </c>
      <c r="Q60" s="155"/>
    </row>
    <row r="61">
      <c r="A61" s="25"/>
      <c r="B61" s="112" t="s">
        <v>358</v>
      </c>
      <c r="C61" s="112" t="s">
        <v>16</v>
      </c>
      <c r="D61" s="182">
        <v>30.0</v>
      </c>
      <c r="E61" s="183">
        <v>1.0</v>
      </c>
      <c r="F61" s="29">
        <v>88.70967741935483</v>
      </c>
      <c r="G61" s="81">
        <f t="shared" si="1"/>
        <v>88.70967742</v>
      </c>
      <c r="H61" s="82">
        <f t="shared" si="2"/>
        <v>110.8870968</v>
      </c>
      <c r="I61" s="43">
        <f t="shared" si="3"/>
        <v>144.1532258</v>
      </c>
      <c r="J61" s="43">
        <f t="shared" si="4"/>
        <v>151.3608871</v>
      </c>
      <c r="K61" s="43">
        <f t="shared" si="5"/>
        <v>174.0650202</v>
      </c>
      <c r="L61" s="155"/>
      <c r="M61" s="155"/>
      <c r="N61" s="155"/>
      <c r="O61" s="8">
        <v>174.0650201612903</v>
      </c>
      <c r="Q61" s="155"/>
    </row>
    <row r="62">
      <c r="A62" s="25"/>
      <c r="B62" s="112" t="s">
        <v>341</v>
      </c>
      <c r="C62" s="112" t="s">
        <v>16</v>
      </c>
      <c r="D62" s="182">
        <v>30.0</v>
      </c>
      <c r="E62" s="183">
        <v>1.0</v>
      </c>
      <c r="F62" s="32">
        <v>86.96</v>
      </c>
      <c r="G62" s="81">
        <f t="shared" si="1"/>
        <v>86.96</v>
      </c>
      <c r="H62" s="82">
        <f t="shared" si="2"/>
        <v>108.7</v>
      </c>
      <c r="I62" s="43">
        <f t="shared" si="3"/>
        <v>141.31</v>
      </c>
      <c r="J62" s="43">
        <f t="shared" si="4"/>
        <v>148.3755</v>
      </c>
      <c r="K62" s="43">
        <f t="shared" si="5"/>
        <v>170.631825</v>
      </c>
      <c r="L62" s="155"/>
      <c r="M62" s="155"/>
      <c r="N62" s="155"/>
      <c r="O62" s="8">
        <v>170.63182499999996</v>
      </c>
      <c r="Q62" s="155"/>
    </row>
    <row r="63">
      <c r="A63" s="25"/>
      <c r="B63" s="112" t="s">
        <v>199</v>
      </c>
      <c r="C63" s="112" t="s">
        <v>16</v>
      </c>
      <c r="D63" s="182">
        <v>30.0</v>
      </c>
      <c r="E63" s="183">
        <v>1.0</v>
      </c>
      <c r="F63" s="29">
        <v>86.95652173913044</v>
      </c>
      <c r="G63" s="81">
        <f t="shared" si="1"/>
        <v>86.95652174</v>
      </c>
      <c r="H63" s="82">
        <f t="shared" si="2"/>
        <v>108.6956522</v>
      </c>
      <c r="I63" s="43">
        <f t="shared" si="3"/>
        <v>141.3043478</v>
      </c>
      <c r="J63" s="43">
        <f t="shared" si="4"/>
        <v>148.3695652</v>
      </c>
      <c r="K63" s="43">
        <f t="shared" si="5"/>
        <v>170.625</v>
      </c>
      <c r="L63" s="155"/>
      <c r="M63" s="155"/>
      <c r="N63" s="155"/>
      <c r="O63" s="8">
        <v>170.625</v>
      </c>
      <c r="Q63" s="155"/>
    </row>
    <row r="64">
      <c r="A64" s="33"/>
      <c r="B64" s="200" t="s">
        <v>359</v>
      </c>
      <c r="C64" s="200" t="s">
        <v>16</v>
      </c>
      <c r="D64" s="201">
        <v>75.0</v>
      </c>
      <c r="E64" s="202">
        <v>1.0</v>
      </c>
      <c r="F64" s="13">
        <v>7.5</v>
      </c>
      <c r="G64" s="54">
        <f t="shared" si="1"/>
        <v>7.5</v>
      </c>
      <c r="H64" s="55">
        <f t="shared" si="2"/>
        <v>9.375</v>
      </c>
      <c r="I64" s="14">
        <f t="shared" si="3"/>
        <v>12.1875</v>
      </c>
      <c r="J64" s="14">
        <f t="shared" si="4"/>
        <v>12.796875</v>
      </c>
      <c r="K64" s="14">
        <f t="shared" si="5"/>
        <v>14.71640625</v>
      </c>
      <c r="L64" s="153"/>
      <c r="M64" s="153"/>
      <c r="N64" s="153"/>
      <c r="O64" s="8">
        <v>14.71640625</v>
      </c>
      <c r="Q64" s="153"/>
    </row>
    <row r="65">
      <c r="A65" s="203" t="s">
        <v>360</v>
      </c>
      <c r="B65" s="204" t="s">
        <v>356</v>
      </c>
      <c r="C65" s="176" t="s">
        <v>16</v>
      </c>
      <c r="D65" s="177">
        <v>30.0</v>
      </c>
      <c r="E65" s="205">
        <v>1.0</v>
      </c>
      <c r="F65" s="206">
        <v>156.25</v>
      </c>
      <c r="G65" s="207">
        <f t="shared" si="1"/>
        <v>156.25</v>
      </c>
      <c r="H65" s="151">
        <f t="shared" si="2"/>
        <v>195.3125</v>
      </c>
      <c r="I65" s="151">
        <f t="shared" si="3"/>
        <v>253.90625</v>
      </c>
      <c r="J65" s="151">
        <f t="shared" si="4"/>
        <v>266.6015625</v>
      </c>
      <c r="K65" s="151">
        <f t="shared" si="5"/>
        <v>306.5917969</v>
      </c>
      <c r="L65" s="157">
        <v>1500.0</v>
      </c>
      <c r="M65" s="157">
        <f>K65+K66+K67+K68+K69+K70</f>
        <v>1495.846561</v>
      </c>
      <c r="N65" s="208">
        <v>1700.0</v>
      </c>
      <c r="O65" s="209">
        <v>306.591796875</v>
      </c>
      <c r="P65" s="210"/>
      <c r="Q65" s="157">
        <f>O65+O66+O67+O68+O69+O70</f>
        <v>1144.110874</v>
      </c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</row>
    <row r="66">
      <c r="A66" s="25"/>
      <c r="B66" s="121" t="s">
        <v>361</v>
      </c>
      <c r="C66" s="112" t="s">
        <v>16</v>
      </c>
      <c r="D66" s="182">
        <v>30.0</v>
      </c>
      <c r="E66" s="211">
        <v>1.0</v>
      </c>
      <c r="F66" s="212">
        <v>335.96</v>
      </c>
      <c r="G66" s="207">
        <f t="shared" si="1"/>
        <v>335.96</v>
      </c>
      <c r="H66" s="151">
        <f t="shared" si="2"/>
        <v>419.95</v>
      </c>
      <c r="I66" s="179">
        <f t="shared" si="3"/>
        <v>545.935</v>
      </c>
      <c r="J66" s="179">
        <f t="shared" si="4"/>
        <v>573.23175</v>
      </c>
      <c r="K66" s="179">
        <f t="shared" si="5"/>
        <v>659.2165125</v>
      </c>
      <c r="L66" s="155"/>
      <c r="M66" s="155"/>
      <c r="N66" s="155"/>
      <c r="O66" s="209">
        <v>307.48082605342734</v>
      </c>
      <c r="P66" s="210"/>
      <c r="Q66" s="155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</row>
    <row r="67">
      <c r="A67" s="25"/>
      <c r="B67" s="213" t="s">
        <v>358</v>
      </c>
      <c r="C67" s="112" t="s">
        <v>16</v>
      </c>
      <c r="D67" s="182">
        <v>30.0</v>
      </c>
      <c r="E67" s="211">
        <v>1.0</v>
      </c>
      <c r="F67" s="214">
        <v>88.70967741935483</v>
      </c>
      <c r="G67" s="207">
        <f t="shared" si="1"/>
        <v>88.70967742</v>
      </c>
      <c r="H67" s="151">
        <f t="shared" si="2"/>
        <v>110.8870968</v>
      </c>
      <c r="I67" s="179">
        <f t="shared" si="3"/>
        <v>144.1532258</v>
      </c>
      <c r="J67" s="179">
        <f t="shared" si="4"/>
        <v>151.3608871</v>
      </c>
      <c r="K67" s="179">
        <f t="shared" si="5"/>
        <v>174.0650202</v>
      </c>
      <c r="L67" s="155"/>
      <c r="M67" s="155"/>
      <c r="N67" s="155"/>
      <c r="O67" s="209">
        <v>174.0650201612903</v>
      </c>
      <c r="P67" s="210"/>
      <c r="Q67" s="155"/>
      <c r="R67" s="210"/>
      <c r="S67" s="210"/>
      <c r="T67" s="210"/>
      <c r="U67" s="210"/>
      <c r="V67" s="210"/>
      <c r="W67" s="210"/>
      <c r="X67" s="210"/>
      <c r="Y67" s="210"/>
      <c r="Z67" s="210"/>
      <c r="AA67" s="210"/>
      <c r="AB67" s="210"/>
    </row>
    <row r="68">
      <c r="A68" s="25"/>
      <c r="B68" s="213" t="s">
        <v>341</v>
      </c>
      <c r="C68" s="112" t="s">
        <v>16</v>
      </c>
      <c r="D68" s="182">
        <v>30.0</v>
      </c>
      <c r="E68" s="211">
        <v>1.0</v>
      </c>
      <c r="F68" s="214">
        <v>86.96</v>
      </c>
      <c r="G68" s="207">
        <f t="shared" si="1"/>
        <v>86.96</v>
      </c>
      <c r="H68" s="151">
        <f t="shared" si="2"/>
        <v>108.7</v>
      </c>
      <c r="I68" s="179">
        <f t="shared" si="3"/>
        <v>141.31</v>
      </c>
      <c r="J68" s="179">
        <f t="shared" si="4"/>
        <v>148.3755</v>
      </c>
      <c r="K68" s="179">
        <f t="shared" si="5"/>
        <v>170.631825</v>
      </c>
      <c r="L68" s="155"/>
      <c r="M68" s="155"/>
      <c r="N68" s="155"/>
      <c r="O68" s="209">
        <v>170.63182499999996</v>
      </c>
      <c r="P68" s="210"/>
      <c r="Q68" s="155"/>
      <c r="R68" s="210"/>
      <c r="S68" s="210"/>
      <c r="T68" s="210"/>
      <c r="U68" s="210"/>
      <c r="V68" s="210"/>
      <c r="W68" s="210"/>
      <c r="X68" s="210"/>
      <c r="Y68" s="210"/>
      <c r="Z68" s="210"/>
      <c r="AA68" s="210"/>
      <c r="AB68" s="210"/>
    </row>
    <row r="69">
      <c r="A69" s="25"/>
      <c r="B69" s="112" t="s">
        <v>199</v>
      </c>
      <c r="C69" s="112" t="s">
        <v>16</v>
      </c>
      <c r="D69" s="182">
        <v>30.0</v>
      </c>
      <c r="E69" s="211">
        <v>1.0</v>
      </c>
      <c r="F69" s="214">
        <v>86.95652173913044</v>
      </c>
      <c r="G69" s="207">
        <f t="shared" si="1"/>
        <v>86.95652174</v>
      </c>
      <c r="H69" s="151">
        <f t="shared" si="2"/>
        <v>108.6956522</v>
      </c>
      <c r="I69" s="179">
        <f t="shared" si="3"/>
        <v>141.3043478</v>
      </c>
      <c r="J69" s="179">
        <f t="shared" si="4"/>
        <v>148.3695652</v>
      </c>
      <c r="K69" s="179">
        <f t="shared" si="5"/>
        <v>170.625</v>
      </c>
      <c r="L69" s="155"/>
      <c r="M69" s="155"/>
      <c r="N69" s="155"/>
      <c r="O69" s="209">
        <v>170.625</v>
      </c>
      <c r="P69" s="210"/>
      <c r="Q69" s="155"/>
      <c r="R69" s="210">
        <f>1700/1.15</f>
        <v>1478.26087</v>
      </c>
      <c r="S69" s="210"/>
      <c r="T69" s="210"/>
      <c r="U69" s="210"/>
      <c r="V69" s="210"/>
      <c r="W69" s="210"/>
      <c r="X69" s="210"/>
      <c r="Y69" s="210"/>
      <c r="Z69" s="210"/>
      <c r="AA69" s="210"/>
      <c r="AB69" s="210"/>
    </row>
    <row r="70">
      <c r="A70" s="33"/>
      <c r="B70" s="215" t="s">
        <v>359</v>
      </c>
      <c r="C70" s="200" t="s">
        <v>16</v>
      </c>
      <c r="D70" s="201">
        <v>75.0</v>
      </c>
      <c r="E70" s="216">
        <v>1.0</v>
      </c>
      <c r="F70" s="217">
        <v>7.5</v>
      </c>
      <c r="G70" s="218">
        <f t="shared" si="1"/>
        <v>7.5</v>
      </c>
      <c r="H70" s="219">
        <f t="shared" si="2"/>
        <v>9.375</v>
      </c>
      <c r="I70" s="220">
        <f t="shared" si="3"/>
        <v>12.1875</v>
      </c>
      <c r="J70" s="220">
        <f t="shared" si="4"/>
        <v>12.796875</v>
      </c>
      <c r="K70" s="220">
        <f t="shared" si="5"/>
        <v>14.71640625</v>
      </c>
      <c r="L70" s="153"/>
      <c r="M70" s="153"/>
      <c r="N70" s="153"/>
      <c r="O70" s="209">
        <v>14.71640625</v>
      </c>
      <c r="P70" s="210"/>
      <c r="Q70" s="153"/>
      <c r="R70" s="210">
        <f>R69/1.05</f>
        <v>1407.867495</v>
      </c>
      <c r="S70" s="210"/>
      <c r="T70" s="210"/>
      <c r="U70" s="210"/>
      <c r="V70" s="210"/>
      <c r="W70" s="210"/>
      <c r="X70" s="210"/>
      <c r="Y70" s="210"/>
      <c r="Z70" s="210"/>
      <c r="AA70" s="210"/>
      <c r="AB70" s="210"/>
    </row>
    <row r="71">
      <c r="A71" s="221" t="s">
        <v>303</v>
      </c>
      <c r="B71" s="222" t="s">
        <v>357</v>
      </c>
      <c r="C71" s="222" t="s">
        <v>16</v>
      </c>
      <c r="D71" s="223">
        <v>60.0</v>
      </c>
      <c r="E71" s="224">
        <v>2.0</v>
      </c>
      <c r="F71" s="58">
        <v>156.70308064516126</v>
      </c>
      <c r="G71" s="225">
        <f t="shared" si="1"/>
        <v>313.4061613</v>
      </c>
      <c r="H71" s="226">
        <f t="shared" si="2"/>
        <v>391.7577016</v>
      </c>
      <c r="I71" s="226">
        <f t="shared" si="3"/>
        <v>509.2850121</v>
      </c>
      <c r="J71" s="226">
        <f t="shared" si="4"/>
        <v>534.7492627</v>
      </c>
      <c r="K71" s="226">
        <f t="shared" si="5"/>
        <v>614.9616521</v>
      </c>
      <c r="L71" s="227">
        <v>1450.0</v>
      </c>
      <c r="M71" s="228">
        <f>K71+K72+K73</f>
        <v>722.8819646</v>
      </c>
      <c r="N71" s="229">
        <v>1200.0</v>
      </c>
      <c r="O71" s="230">
        <v>614.9616521068547</v>
      </c>
      <c r="P71" s="231"/>
      <c r="Q71" s="228">
        <f>O71+O72+O73</f>
        <v>722.8819646</v>
      </c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</row>
    <row r="72">
      <c r="A72" s="25"/>
      <c r="B72" s="112" t="s">
        <v>343</v>
      </c>
      <c r="C72" s="112" t="s">
        <v>16</v>
      </c>
      <c r="D72" s="232">
        <v>30.0</v>
      </c>
      <c r="E72" s="233">
        <v>1.0</v>
      </c>
      <c r="F72" s="32">
        <v>35.0</v>
      </c>
      <c r="G72" s="81">
        <f t="shared" si="1"/>
        <v>35</v>
      </c>
      <c r="H72" s="82">
        <f t="shared" si="2"/>
        <v>43.75</v>
      </c>
      <c r="I72" s="43">
        <f t="shared" si="3"/>
        <v>56.875</v>
      </c>
      <c r="J72" s="43">
        <f t="shared" si="4"/>
        <v>59.71875</v>
      </c>
      <c r="K72" s="43">
        <f t="shared" si="5"/>
        <v>68.6765625</v>
      </c>
      <c r="L72" s="155"/>
      <c r="M72" s="155"/>
      <c r="N72" s="155"/>
      <c r="O72" s="8">
        <v>68.6765625</v>
      </c>
      <c r="Q72" s="155"/>
    </row>
    <row r="73">
      <c r="A73" s="33"/>
      <c r="B73" s="200" t="s">
        <v>342</v>
      </c>
      <c r="C73" s="200" t="s">
        <v>16</v>
      </c>
      <c r="D73" s="201">
        <v>30.0</v>
      </c>
      <c r="E73" s="202">
        <v>1.0</v>
      </c>
      <c r="F73" s="13">
        <v>20.0</v>
      </c>
      <c r="G73" s="54">
        <f t="shared" si="1"/>
        <v>20</v>
      </c>
      <c r="H73" s="55">
        <f t="shared" si="2"/>
        <v>25</v>
      </c>
      <c r="I73" s="14">
        <f t="shared" si="3"/>
        <v>32.5</v>
      </c>
      <c r="J73" s="14">
        <f t="shared" si="4"/>
        <v>34.125</v>
      </c>
      <c r="K73" s="14">
        <f t="shared" si="5"/>
        <v>39.24375</v>
      </c>
      <c r="L73" s="153"/>
      <c r="M73" s="153"/>
      <c r="N73" s="153"/>
      <c r="O73" s="8">
        <v>39.24375</v>
      </c>
      <c r="Q73" s="153"/>
    </row>
    <row r="74">
      <c r="A74" s="111" t="s">
        <v>304</v>
      </c>
      <c r="B74" s="120" t="s">
        <v>362</v>
      </c>
      <c r="C74" s="120" t="s">
        <v>16</v>
      </c>
      <c r="D74" s="234">
        <v>60.0</v>
      </c>
      <c r="E74" s="234">
        <v>2.0</v>
      </c>
      <c r="F74" s="58">
        <v>325.01228124999994</v>
      </c>
      <c r="G74" s="81">
        <f t="shared" si="1"/>
        <v>650.0245625</v>
      </c>
      <c r="H74" s="82">
        <f t="shared" si="2"/>
        <v>812.5307031</v>
      </c>
      <c r="I74" s="82">
        <f t="shared" si="3"/>
        <v>1056.289914</v>
      </c>
      <c r="J74" s="82">
        <f t="shared" si="4"/>
        <v>1109.10441</v>
      </c>
      <c r="K74" s="82">
        <f t="shared" si="5"/>
        <v>1275.470071</v>
      </c>
      <c r="L74" s="88"/>
      <c r="M74" s="88">
        <f>K74+K75+K76</f>
        <v>1383.390384</v>
      </c>
      <c r="N74" s="154">
        <v>1500.0</v>
      </c>
      <c r="O74" s="8">
        <v>1275.4700712304684</v>
      </c>
      <c r="Q74" s="88">
        <f>O74+O75+O76</f>
        <v>1383.390384</v>
      </c>
    </row>
    <row r="75">
      <c r="A75" s="25"/>
      <c r="B75" s="112" t="s">
        <v>343</v>
      </c>
      <c r="C75" s="112" t="s">
        <v>16</v>
      </c>
      <c r="D75" s="232">
        <v>30.0</v>
      </c>
      <c r="E75" s="233">
        <v>1.0</v>
      </c>
      <c r="F75" s="29">
        <f>35</f>
        <v>35</v>
      </c>
      <c r="G75" s="81">
        <f t="shared" si="1"/>
        <v>35</v>
      </c>
      <c r="H75" s="82">
        <f t="shared" si="2"/>
        <v>43.75</v>
      </c>
      <c r="I75" s="43">
        <f t="shared" si="3"/>
        <v>56.875</v>
      </c>
      <c r="J75" s="43">
        <f t="shared" si="4"/>
        <v>59.71875</v>
      </c>
      <c r="K75" s="43">
        <f t="shared" si="5"/>
        <v>68.6765625</v>
      </c>
      <c r="L75" s="155"/>
      <c r="M75" s="155"/>
      <c r="N75" s="155"/>
      <c r="O75" s="8">
        <v>68.6765625</v>
      </c>
      <c r="Q75" s="155"/>
    </row>
    <row r="76">
      <c r="A76" s="33"/>
      <c r="B76" s="200" t="s">
        <v>342</v>
      </c>
      <c r="C76" s="200" t="s">
        <v>16</v>
      </c>
      <c r="D76" s="201">
        <v>30.0</v>
      </c>
      <c r="E76" s="202">
        <v>1.0</v>
      </c>
      <c r="F76" s="13">
        <v>20.0</v>
      </c>
      <c r="G76" s="54">
        <f t="shared" si="1"/>
        <v>20</v>
      </c>
      <c r="H76" s="55">
        <f t="shared" si="2"/>
        <v>25</v>
      </c>
      <c r="I76" s="14">
        <f t="shared" si="3"/>
        <v>32.5</v>
      </c>
      <c r="J76" s="14">
        <f t="shared" si="4"/>
        <v>34.125</v>
      </c>
      <c r="K76" s="14">
        <f t="shared" si="5"/>
        <v>39.24375</v>
      </c>
      <c r="L76" s="153"/>
      <c r="M76" s="153"/>
      <c r="N76" s="153"/>
      <c r="O76" s="8">
        <v>39.24375</v>
      </c>
      <c r="Q76" s="153"/>
    </row>
    <row r="77">
      <c r="A77" s="149" t="s">
        <v>305</v>
      </c>
      <c r="B77" s="94" t="s">
        <v>341</v>
      </c>
      <c r="C77" s="94" t="s">
        <v>16</v>
      </c>
      <c r="D77" s="235">
        <v>60.0</v>
      </c>
      <c r="E77" s="234">
        <v>2.0</v>
      </c>
      <c r="F77" s="22">
        <v>86.96</v>
      </c>
      <c r="G77" s="81">
        <f t="shared" si="1"/>
        <v>173.92</v>
      </c>
      <c r="H77" s="82">
        <f t="shared" si="2"/>
        <v>217.4</v>
      </c>
      <c r="I77" s="82">
        <f t="shared" si="3"/>
        <v>282.62</v>
      </c>
      <c r="J77" s="82">
        <f t="shared" si="4"/>
        <v>296.751</v>
      </c>
      <c r="K77" s="82">
        <f t="shared" si="5"/>
        <v>341.26365</v>
      </c>
      <c r="L77" s="152">
        <v>700.0</v>
      </c>
      <c r="M77" s="88">
        <f>K77+K78+K79+K80+K81</f>
        <v>625.7808375</v>
      </c>
      <c r="N77" s="154">
        <v>800.0</v>
      </c>
      <c r="O77" s="8">
        <v>341.2636499999999</v>
      </c>
      <c r="Q77" s="88">
        <f>O77+O78+O79+O80+O81</f>
        <v>625.7808375</v>
      </c>
    </row>
    <row r="78">
      <c r="A78" s="25"/>
      <c r="B78" s="112" t="s">
        <v>363</v>
      </c>
      <c r="C78" s="112" t="s">
        <v>16</v>
      </c>
      <c r="D78" s="232">
        <v>60.0</v>
      </c>
      <c r="E78" s="233">
        <v>2.0</v>
      </c>
      <c r="F78" s="32">
        <v>40.0</v>
      </c>
      <c r="G78" s="81">
        <f t="shared" si="1"/>
        <v>80</v>
      </c>
      <c r="H78" s="82">
        <f t="shared" si="2"/>
        <v>100</v>
      </c>
      <c r="I78" s="43">
        <f t="shared" si="3"/>
        <v>130</v>
      </c>
      <c r="J78" s="43">
        <f t="shared" si="4"/>
        <v>136.5</v>
      </c>
      <c r="K78" s="43">
        <f t="shared" si="5"/>
        <v>156.975</v>
      </c>
      <c r="L78" s="155"/>
      <c r="M78" s="155"/>
      <c r="N78" s="155"/>
      <c r="O78" s="8">
        <v>156.975</v>
      </c>
      <c r="Q78" s="155"/>
    </row>
    <row r="79">
      <c r="A79" s="25"/>
      <c r="B79" s="112" t="s">
        <v>364</v>
      </c>
      <c r="C79" s="112" t="s">
        <v>16</v>
      </c>
      <c r="D79" s="232">
        <v>30.0</v>
      </c>
      <c r="E79" s="233">
        <v>1.0</v>
      </c>
      <c r="F79" s="32">
        <v>20.0</v>
      </c>
      <c r="G79" s="81">
        <f t="shared" si="1"/>
        <v>20</v>
      </c>
      <c r="H79" s="82">
        <f t="shared" si="2"/>
        <v>25</v>
      </c>
      <c r="I79" s="43">
        <f t="shared" si="3"/>
        <v>32.5</v>
      </c>
      <c r="J79" s="43">
        <f t="shared" si="4"/>
        <v>34.125</v>
      </c>
      <c r="K79" s="43">
        <f t="shared" si="5"/>
        <v>39.24375</v>
      </c>
      <c r="L79" s="155"/>
      <c r="M79" s="155"/>
      <c r="N79" s="155"/>
      <c r="O79" s="8">
        <v>39.24375</v>
      </c>
      <c r="Q79" s="155"/>
    </row>
    <row r="80">
      <c r="A80" s="25"/>
      <c r="B80" s="236" t="s">
        <v>365</v>
      </c>
      <c r="C80" s="236" t="s">
        <v>16</v>
      </c>
      <c r="D80" s="237">
        <v>37.5</v>
      </c>
      <c r="E80" s="237">
        <v>1.0</v>
      </c>
      <c r="F80" s="42">
        <f>30/3</f>
        <v>10</v>
      </c>
      <c r="G80" s="81">
        <f t="shared" si="1"/>
        <v>10</v>
      </c>
      <c r="H80" s="82">
        <f t="shared" si="2"/>
        <v>12.5</v>
      </c>
      <c r="I80" s="43">
        <f t="shared" si="3"/>
        <v>16.25</v>
      </c>
      <c r="J80" s="43">
        <f t="shared" si="4"/>
        <v>17.0625</v>
      </c>
      <c r="K80" s="43">
        <f t="shared" si="5"/>
        <v>19.621875</v>
      </c>
      <c r="L80" s="155"/>
      <c r="M80" s="155"/>
      <c r="N80" s="155"/>
      <c r="O80" s="8">
        <v>19.621875</v>
      </c>
      <c r="Q80" s="155"/>
    </row>
    <row r="81">
      <c r="A81" s="33"/>
      <c r="B81" s="200" t="s">
        <v>343</v>
      </c>
      <c r="C81" s="200" t="s">
        <v>16</v>
      </c>
      <c r="D81" s="201">
        <v>30.0</v>
      </c>
      <c r="E81" s="202">
        <v>1.0</v>
      </c>
      <c r="F81" s="13">
        <v>35.0</v>
      </c>
      <c r="G81" s="54">
        <f t="shared" si="1"/>
        <v>35</v>
      </c>
      <c r="H81" s="55">
        <f t="shared" si="2"/>
        <v>43.75</v>
      </c>
      <c r="I81" s="14">
        <f t="shared" si="3"/>
        <v>56.875</v>
      </c>
      <c r="J81" s="14">
        <f t="shared" si="4"/>
        <v>59.71875</v>
      </c>
      <c r="K81" s="14">
        <f t="shared" si="5"/>
        <v>68.6765625</v>
      </c>
      <c r="L81" s="153"/>
      <c r="M81" s="153"/>
      <c r="N81" s="153"/>
      <c r="O81" s="8">
        <v>68.6765625</v>
      </c>
      <c r="Q81" s="153"/>
    </row>
    <row r="82">
      <c r="A82" s="149" t="s">
        <v>306</v>
      </c>
      <c r="B82" s="94" t="s">
        <v>199</v>
      </c>
      <c r="C82" s="94" t="s">
        <v>338</v>
      </c>
      <c r="D82" s="235">
        <v>30.0</v>
      </c>
      <c r="E82" s="234">
        <v>1.0</v>
      </c>
      <c r="F82" s="58">
        <v>86.95652173913044</v>
      </c>
      <c r="G82" s="81">
        <f t="shared" si="1"/>
        <v>86.95652174</v>
      </c>
      <c r="H82" s="82">
        <f t="shared" si="2"/>
        <v>108.6956522</v>
      </c>
      <c r="I82" s="82">
        <f t="shared" si="3"/>
        <v>141.3043478</v>
      </c>
      <c r="J82" s="82">
        <f t="shared" si="4"/>
        <v>148.3695652</v>
      </c>
      <c r="K82" s="82">
        <f t="shared" si="5"/>
        <v>170.625</v>
      </c>
      <c r="L82" s="152">
        <v>900.0</v>
      </c>
      <c r="M82" s="88">
        <f>K82+K83+K84</f>
        <v>1161.633929</v>
      </c>
      <c r="N82" s="154">
        <v>1300.0</v>
      </c>
      <c r="O82" s="8">
        <v>170.625</v>
      </c>
      <c r="Q82" s="88">
        <f>O82+O83+O84</f>
        <v>1161.633929</v>
      </c>
    </row>
    <row r="83">
      <c r="A83" s="25"/>
      <c r="B83" s="112" t="s">
        <v>84</v>
      </c>
      <c r="C83" s="112" t="s">
        <v>16</v>
      </c>
      <c r="D83" s="232">
        <v>30.0</v>
      </c>
      <c r="E83" s="233">
        <v>1.0</v>
      </c>
      <c r="F83" s="29">
        <v>245.021875</v>
      </c>
      <c r="G83" s="81">
        <f t="shared" si="1"/>
        <v>245.021875</v>
      </c>
      <c r="H83" s="82">
        <f t="shared" si="2"/>
        <v>306.2773438</v>
      </c>
      <c r="I83" s="43">
        <f t="shared" si="3"/>
        <v>398.1605469</v>
      </c>
      <c r="J83" s="43">
        <f t="shared" si="4"/>
        <v>418.0685742</v>
      </c>
      <c r="K83" s="43">
        <f t="shared" si="5"/>
        <v>480.7788604</v>
      </c>
      <c r="L83" s="155"/>
      <c r="M83" s="155"/>
      <c r="N83" s="155"/>
      <c r="O83" s="8">
        <v>480.7788603515625</v>
      </c>
      <c r="Q83" s="155"/>
    </row>
    <row r="84">
      <c r="A84" s="33"/>
      <c r="B84" s="200" t="s">
        <v>366</v>
      </c>
      <c r="C84" s="200" t="s">
        <v>16</v>
      </c>
      <c r="D84" s="201">
        <v>30.0</v>
      </c>
      <c r="E84" s="202">
        <v>1.0</v>
      </c>
      <c r="F84" s="37">
        <v>260.03125</v>
      </c>
      <c r="G84" s="54">
        <f t="shared" si="1"/>
        <v>260.03125</v>
      </c>
      <c r="H84" s="55">
        <f t="shared" si="2"/>
        <v>325.0390625</v>
      </c>
      <c r="I84" s="14">
        <f t="shared" si="3"/>
        <v>422.5507813</v>
      </c>
      <c r="J84" s="14">
        <f t="shared" si="4"/>
        <v>443.6783203</v>
      </c>
      <c r="K84" s="14">
        <f t="shared" si="5"/>
        <v>510.2300684</v>
      </c>
      <c r="L84" s="153"/>
      <c r="M84" s="153"/>
      <c r="N84" s="153"/>
      <c r="O84" s="8">
        <v>510.23006835937497</v>
      </c>
      <c r="Q84" s="153"/>
    </row>
    <row r="85">
      <c r="A85" s="175" t="s">
        <v>307</v>
      </c>
      <c r="B85" s="94" t="s">
        <v>347</v>
      </c>
      <c r="C85" s="94" t="s">
        <v>338</v>
      </c>
      <c r="D85" s="235">
        <v>30.0</v>
      </c>
      <c r="E85" s="234">
        <v>1.0</v>
      </c>
      <c r="F85" s="58">
        <v>239.68767187499998</v>
      </c>
      <c r="G85" s="81">
        <f t="shared" si="1"/>
        <v>239.6876719</v>
      </c>
      <c r="H85" s="82">
        <f t="shared" si="2"/>
        <v>299.6095898</v>
      </c>
      <c r="I85" s="82">
        <f t="shared" si="3"/>
        <v>389.4924668</v>
      </c>
      <c r="J85" s="82">
        <f t="shared" si="4"/>
        <v>408.9670901</v>
      </c>
      <c r="K85" s="82">
        <f t="shared" si="5"/>
        <v>470.3121537</v>
      </c>
      <c r="L85" s="88"/>
      <c r="M85" s="88">
        <f>K85+K86+K87</f>
        <v>1461.321082</v>
      </c>
      <c r="N85" s="154">
        <v>1600.0</v>
      </c>
      <c r="O85" s="8">
        <v>470.3121536572265</v>
      </c>
      <c r="Q85" s="88">
        <f>O85+O86+O87</f>
        <v>1461.321082</v>
      </c>
    </row>
    <row r="86">
      <c r="A86" s="25"/>
      <c r="B86" s="112" t="s">
        <v>84</v>
      </c>
      <c r="C86" s="112" t="s">
        <v>16</v>
      </c>
      <c r="D86" s="232">
        <v>30.0</v>
      </c>
      <c r="E86" s="233">
        <v>1.0</v>
      </c>
      <c r="F86" s="29">
        <v>245.021875</v>
      </c>
      <c r="G86" s="81">
        <f t="shared" si="1"/>
        <v>245.021875</v>
      </c>
      <c r="H86" s="82">
        <f t="shared" si="2"/>
        <v>306.2773438</v>
      </c>
      <c r="I86" s="43">
        <f t="shared" si="3"/>
        <v>398.1605469</v>
      </c>
      <c r="J86" s="43">
        <f t="shared" si="4"/>
        <v>418.0685742</v>
      </c>
      <c r="K86" s="43">
        <f t="shared" si="5"/>
        <v>480.7788604</v>
      </c>
      <c r="L86" s="155"/>
      <c r="M86" s="155"/>
      <c r="N86" s="155"/>
      <c r="O86" s="8">
        <v>480.7788603515625</v>
      </c>
      <c r="Q86" s="155"/>
    </row>
    <row r="87">
      <c r="A87" s="33"/>
      <c r="B87" s="200" t="s">
        <v>366</v>
      </c>
      <c r="C87" s="200" t="s">
        <v>16</v>
      </c>
      <c r="D87" s="201">
        <v>30.0</v>
      </c>
      <c r="E87" s="202">
        <v>1.0</v>
      </c>
      <c r="F87" s="37">
        <v>260.03125</v>
      </c>
      <c r="G87" s="54">
        <f t="shared" si="1"/>
        <v>260.03125</v>
      </c>
      <c r="H87" s="55">
        <f t="shared" si="2"/>
        <v>325.0390625</v>
      </c>
      <c r="I87" s="14">
        <f t="shared" si="3"/>
        <v>422.5507813</v>
      </c>
      <c r="J87" s="14">
        <f t="shared" si="4"/>
        <v>443.6783203</v>
      </c>
      <c r="K87" s="14">
        <f t="shared" si="5"/>
        <v>510.2300684</v>
      </c>
      <c r="L87" s="153"/>
      <c r="M87" s="153"/>
      <c r="N87" s="153"/>
      <c r="O87" s="8">
        <v>510.23006835937497</v>
      </c>
      <c r="Q87" s="153"/>
    </row>
    <row r="88">
      <c r="A88" s="149" t="s">
        <v>308</v>
      </c>
      <c r="B88" s="94" t="s">
        <v>367</v>
      </c>
      <c r="C88" s="94" t="s">
        <v>338</v>
      </c>
      <c r="D88" s="235">
        <v>60.0</v>
      </c>
      <c r="E88" s="234">
        <v>2.0</v>
      </c>
      <c r="F88" s="58">
        <v>302.76553125</v>
      </c>
      <c r="G88" s="81">
        <f t="shared" si="1"/>
        <v>605.5310625</v>
      </c>
      <c r="H88" s="82">
        <f t="shared" si="2"/>
        <v>756.9138281</v>
      </c>
      <c r="I88" s="82">
        <f t="shared" si="3"/>
        <v>983.9879766</v>
      </c>
      <c r="J88" s="82">
        <f t="shared" si="4"/>
        <v>1033.187375</v>
      </c>
      <c r="K88" s="82">
        <f t="shared" si="5"/>
        <v>1188.165482</v>
      </c>
      <c r="L88" s="88"/>
      <c r="M88" s="88">
        <f>K88+K89+K90</f>
        <v>1333.367357</v>
      </c>
      <c r="N88" s="154">
        <v>1400.0</v>
      </c>
      <c r="O88" s="8">
        <v>1188.1654816992186</v>
      </c>
      <c r="Q88" s="88">
        <f>O88+O89+O90</f>
        <v>1237.220169</v>
      </c>
    </row>
    <row r="89">
      <c r="A89" s="25"/>
      <c r="B89" s="112" t="s">
        <v>368</v>
      </c>
      <c r="C89" s="112" t="s">
        <v>16</v>
      </c>
      <c r="D89" s="233">
        <v>3.0</v>
      </c>
      <c r="E89" s="233">
        <v>1.0</v>
      </c>
      <c r="F89" s="32">
        <v>54.0</v>
      </c>
      <c r="G89" s="81">
        <f t="shared" si="1"/>
        <v>54</v>
      </c>
      <c r="H89" s="82">
        <f t="shared" si="2"/>
        <v>67.5</v>
      </c>
      <c r="I89" s="43">
        <f t="shared" si="3"/>
        <v>87.75</v>
      </c>
      <c r="J89" s="43">
        <f t="shared" si="4"/>
        <v>92.1375</v>
      </c>
      <c r="K89" s="43">
        <f t="shared" si="5"/>
        <v>105.958125</v>
      </c>
      <c r="L89" s="155"/>
      <c r="M89" s="155"/>
      <c r="N89" s="155"/>
      <c r="O89" s="8">
        <v>9.8109375</v>
      </c>
      <c r="Q89" s="155"/>
    </row>
    <row r="90">
      <c r="A90" s="33"/>
      <c r="B90" s="200" t="s">
        <v>342</v>
      </c>
      <c r="C90" s="200" t="s">
        <v>16</v>
      </c>
      <c r="D90" s="201">
        <v>15.0</v>
      </c>
      <c r="E90" s="202">
        <v>1.0</v>
      </c>
      <c r="F90" s="13">
        <v>20.0</v>
      </c>
      <c r="G90" s="54">
        <f t="shared" si="1"/>
        <v>20</v>
      </c>
      <c r="H90" s="55">
        <f t="shared" si="2"/>
        <v>25</v>
      </c>
      <c r="I90" s="14">
        <f t="shared" si="3"/>
        <v>32.5</v>
      </c>
      <c r="J90" s="14">
        <f t="shared" si="4"/>
        <v>34.125</v>
      </c>
      <c r="K90" s="14">
        <f t="shared" si="5"/>
        <v>39.24375</v>
      </c>
      <c r="L90" s="153"/>
      <c r="M90" s="153"/>
      <c r="N90" s="153"/>
      <c r="O90" s="8">
        <v>39.24375</v>
      </c>
      <c r="Q90" s="153"/>
    </row>
    <row r="91">
      <c r="A91" s="149" t="s">
        <v>309</v>
      </c>
      <c r="B91" s="94" t="s">
        <v>369</v>
      </c>
      <c r="C91" s="94" t="s">
        <v>338</v>
      </c>
      <c r="D91" s="235">
        <v>60.0</v>
      </c>
      <c r="E91" s="234">
        <v>2.0</v>
      </c>
      <c r="F91" s="58">
        <v>284.374875</v>
      </c>
      <c r="G91" s="81">
        <f t="shared" si="1"/>
        <v>568.74975</v>
      </c>
      <c r="H91" s="82">
        <f t="shared" si="2"/>
        <v>710.9371875</v>
      </c>
      <c r="I91" s="82">
        <f t="shared" si="3"/>
        <v>924.2183438</v>
      </c>
      <c r="J91" s="82">
        <f t="shared" si="4"/>
        <v>970.4292609</v>
      </c>
      <c r="K91" s="82">
        <f t="shared" si="5"/>
        <v>1115.99365</v>
      </c>
      <c r="L91" s="88"/>
      <c r="M91" s="88">
        <f>K91+K92+K93</f>
        <v>1261.195525</v>
      </c>
      <c r="N91" s="154">
        <v>1300.0</v>
      </c>
      <c r="O91" s="8">
        <v>1115.993650078125</v>
      </c>
      <c r="Q91" s="88">
        <f>O91+O92+O93</f>
        <v>1261.195525</v>
      </c>
    </row>
    <row r="92">
      <c r="A92" s="25"/>
      <c r="B92" s="112" t="s">
        <v>368</v>
      </c>
      <c r="C92" s="112" t="s">
        <v>16</v>
      </c>
      <c r="D92" s="233">
        <v>3.0</v>
      </c>
      <c r="E92" s="233">
        <v>1.0</v>
      </c>
      <c r="F92" s="32">
        <v>54.0</v>
      </c>
      <c r="G92" s="81">
        <f t="shared" si="1"/>
        <v>54</v>
      </c>
      <c r="H92" s="82">
        <f t="shared" si="2"/>
        <v>67.5</v>
      </c>
      <c r="I92" s="43">
        <f t="shared" si="3"/>
        <v>87.75</v>
      </c>
      <c r="J92" s="43">
        <f t="shared" si="4"/>
        <v>92.1375</v>
      </c>
      <c r="K92" s="43">
        <f t="shared" si="5"/>
        <v>105.958125</v>
      </c>
      <c r="L92" s="155"/>
      <c r="M92" s="155"/>
      <c r="N92" s="155"/>
      <c r="O92" s="8">
        <v>105.958125</v>
      </c>
      <c r="Q92" s="155"/>
    </row>
    <row r="93">
      <c r="A93" s="33"/>
      <c r="B93" s="200" t="s">
        <v>342</v>
      </c>
      <c r="C93" s="200" t="s">
        <v>16</v>
      </c>
      <c r="D93" s="201">
        <v>15.0</v>
      </c>
      <c r="E93" s="202">
        <v>1.0</v>
      </c>
      <c r="F93" s="13">
        <v>20.0</v>
      </c>
      <c r="G93" s="54">
        <f t="shared" si="1"/>
        <v>20</v>
      </c>
      <c r="H93" s="55">
        <f t="shared" si="2"/>
        <v>25</v>
      </c>
      <c r="I93" s="14">
        <f t="shared" si="3"/>
        <v>32.5</v>
      </c>
      <c r="J93" s="14">
        <f t="shared" si="4"/>
        <v>34.125</v>
      </c>
      <c r="K93" s="14">
        <f t="shared" si="5"/>
        <v>39.24375</v>
      </c>
      <c r="L93" s="153"/>
      <c r="M93" s="153"/>
      <c r="N93" s="153"/>
      <c r="O93" s="8">
        <v>39.24375</v>
      </c>
      <c r="Q93" s="153"/>
    </row>
    <row r="94">
      <c r="A94" s="156" t="s">
        <v>310</v>
      </c>
      <c r="B94" s="188" t="s">
        <v>356</v>
      </c>
      <c r="C94" s="94" t="s">
        <v>338</v>
      </c>
      <c r="D94" s="235">
        <v>60.0</v>
      </c>
      <c r="E94" s="234">
        <v>2.0</v>
      </c>
      <c r="F94" s="58">
        <v>156.25</v>
      </c>
      <c r="G94" s="81">
        <f t="shared" si="1"/>
        <v>312.5</v>
      </c>
      <c r="H94" s="82">
        <f t="shared" si="2"/>
        <v>390.625</v>
      </c>
      <c r="I94" s="82">
        <f t="shared" si="3"/>
        <v>507.8125</v>
      </c>
      <c r="J94" s="82">
        <f t="shared" si="4"/>
        <v>533.203125</v>
      </c>
      <c r="K94" s="82">
        <f t="shared" si="5"/>
        <v>613.1835938</v>
      </c>
      <c r="L94" s="152">
        <v>700.0</v>
      </c>
      <c r="M94" s="88">
        <f>K94+K95+K96</f>
        <v>758.3854688</v>
      </c>
      <c r="N94" s="154">
        <v>900.0</v>
      </c>
      <c r="O94" s="8">
        <v>613.18359375</v>
      </c>
      <c r="Q94" s="88">
        <f>O94+O95+O96</f>
        <v>758.3854688</v>
      </c>
    </row>
    <row r="95">
      <c r="A95" s="25"/>
      <c r="B95" s="112" t="s">
        <v>368</v>
      </c>
      <c r="C95" s="112" t="s">
        <v>16</v>
      </c>
      <c r="D95" s="233">
        <v>3.0</v>
      </c>
      <c r="E95" s="233">
        <v>1.0</v>
      </c>
      <c r="F95" s="32">
        <v>54.0</v>
      </c>
      <c r="G95" s="81">
        <f t="shared" si="1"/>
        <v>54</v>
      </c>
      <c r="H95" s="82">
        <f t="shared" si="2"/>
        <v>67.5</v>
      </c>
      <c r="I95" s="43">
        <f t="shared" si="3"/>
        <v>87.75</v>
      </c>
      <c r="J95" s="43">
        <f t="shared" si="4"/>
        <v>92.1375</v>
      </c>
      <c r="K95" s="43">
        <f t="shared" si="5"/>
        <v>105.958125</v>
      </c>
      <c r="L95" s="155"/>
      <c r="M95" s="155"/>
      <c r="N95" s="155"/>
      <c r="O95" s="8">
        <v>105.958125</v>
      </c>
      <c r="Q95" s="155"/>
    </row>
    <row r="96">
      <c r="A96" s="33"/>
      <c r="B96" s="200" t="s">
        <v>342</v>
      </c>
      <c r="C96" s="200" t="s">
        <v>16</v>
      </c>
      <c r="D96" s="201">
        <v>15.0</v>
      </c>
      <c r="E96" s="202">
        <v>1.0</v>
      </c>
      <c r="F96" s="13">
        <v>20.0</v>
      </c>
      <c r="G96" s="54">
        <f t="shared" si="1"/>
        <v>20</v>
      </c>
      <c r="H96" s="55">
        <f t="shared" si="2"/>
        <v>25</v>
      </c>
      <c r="I96" s="14">
        <f t="shared" si="3"/>
        <v>32.5</v>
      </c>
      <c r="J96" s="14">
        <f t="shared" si="4"/>
        <v>34.125</v>
      </c>
      <c r="K96" s="14">
        <f t="shared" si="5"/>
        <v>39.24375</v>
      </c>
      <c r="L96" s="153"/>
      <c r="M96" s="153"/>
      <c r="N96" s="153"/>
      <c r="O96" s="8">
        <v>39.24375</v>
      </c>
      <c r="Q96" s="153"/>
    </row>
    <row r="97">
      <c r="A97" s="149" t="s">
        <v>311</v>
      </c>
      <c r="B97" s="94" t="s">
        <v>370</v>
      </c>
      <c r="C97" s="94" t="s">
        <v>338</v>
      </c>
      <c r="D97" s="235">
        <v>60.0</v>
      </c>
      <c r="E97" s="234">
        <v>2.0</v>
      </c>
      <c r="F97" s="58">
        <v>421.25003124999995</v>
      </c>
      <c r="G97" s="81">
        <f t="shared" si="1"/>
        <v>842.5000625</v>
      </c>
      <c r="H97" s="82">
        <f t="shared" si="2"/>
        <v>1053.125078</v>
      </c>
      <c r="I97" s="82">
        <f t="shared" si="3"/>
        <v>1369.062602</v>
      </c>
      <c r="J97" s="82">
        <f t="shared" si="4"/>
        <v>1437.515732</v>
      </c>
      <c r="K97" s="82">
        <f t="shared" si="5"/>
        <v>1653.143091</v>
      </c>
      <c r="L97" s="88"/>
      <c r="M97" s="88">
        <f>K97+K98+K99</f>
        <v>1798.344966</v>
      </c>
      <c r="N97" s="154">
        <v>1900.0</v>
      </c>
      <c r="O97" s="8">
        <v>1653.1430913867187</v>
      </c>
      <c r="Q97" s="88">
        <f>O97+O98+O99</f>
        <v>1798.344966</v>
      </c>
    </row>
    <row r="98">
      <c r="A98" s="25"/>
      <c r="B98" s="112" t="s">
        <v>368</v>
      </c>
      <c r="C98" s="112" t="s">
        <v>16</v>
      </c>
      <c r="D98" s="233">
        <v>3.0</v>
      </c>
      <c r="E98" s="233">
        <v>1.0</v>
      </c>
      <c r="F98" s="32">
        <v>54.0</v>
      </c>
      <c r="G98" s="81">
        <f t="shared" si="1"/>
        <v>54</v>
      </c>
      <c r="H98" s="82">
        <f t="shared" si="2"/>
        <v>67.5</v>
      </c>
      <c r="I98" s="43">
        <f t="shared" si="3"/>
        <v>87.75</v>
      </c>
      <c r="J98" s="43">
        <f t="shared" si="4"/>
        <v>92.1375</v>
      </c>
      <c r="K98" s="43">
        <f t="shared" si="5"/>
        <v>105.958125</v>
      </c>
      <c r="L98" s="155"/>
      <c r="M98" s="155"/>
      <c r="N98" s="155"/>
      <c r="O98" s="8">
        <v>105.958125</v>
      </c>
      <c r="Q98" s="155"/>
    </row>
    <row r="99">
      <c r="A99" s="33"/>
      <c r="B99" s="200" t="s">
        <v>342</v>
      </c>
      <c r="C99" s="200" t="s">
        <v>16</v>
      </c>
      <c r="D99" s="201">
        <v>15.0</v>
      </c>
      <c r="E99" s="202">
        <v>1.0</v>
      </c>
      <c r="F99" s="13">
        <v>20.0</v>
      </c>
      <c r="G99" s="54">
        <f t="shared" si="1"/>
        <v>20</v>
      </c>
      <c r="H99" s="55">
        <f t="shared" si="2"/>
        <v>25</v>
      </c>
      <c r="I99" s="14">
        <f t="shared" si="3"/>
        <v>32.5</v>
      </c>
      <c r="J99" s="14">
        <f t="shared" si="4"/>
        <v>34.125</v>
      </c>
      <c r="K99" s="14">
        <f t="shared" si="5"/>
        <v>39.24375</v>
      </c>
      <c r="L99" s="153"/>
      <c r="M99" s="153"/>
      <c r="N99" s="153"/>
      <c r="O99" s="8">
        <v>39.24375</v>
      </c>
      <c r="Q99" s="153"/>
    </row>
    <row r="100">
      <c r="A100" s="238" t="s">
        <v>312</v>
      </c>
      <c r="B100" s="94" t="s">
        <v>371</v>
      </c>
      <c r="C100" s="94" t="s">
        <v>338</v>
      </c>
      <c r="D100" s="235">
        <v>60.0</v>
      </c>
      <c r="E100" s="234">
        <v>2.0</v>
      </c>
      <c r="F100" s="239">
        <v>300.0</v>
      </c>
      <c r="G100" s="81">
        <f t="shared" si="1"/>
        <v>600</v>
      </c>
      <c r="H100" s="82">
        <f t="shared" si="2"/>
        <v>750</v>
      </c>
      <c r="I100" s="82">
        <f t="shared" si="3"/>
        <v>975</v>
      </c>
      <c r="J100" s="82">
        <f t="shared" si="4"/>
        <v>1023.75</v>
      </c>
      <c r="K100" s="82">
        <f t="shared" si="5"/>
        <v>1177.3125</v>
      </c>
      <c r="L100" s="152">
        <v>700.0</v>
      </c>
      <c r="M100" s="88">
        <f>K100+K101+K102+K103</f>
        <v>1495.101563</v>
      </c>
      <c r="N100" s="240">
        <v>1600.0</v>
      </c>
      <c r="O100" s="8">
        <v>1177.3125</v>
      </c>
      <c r="Q100" s="88">
        <f>O100+O101+O102+O103</f>
        <v>1495.101563</v>
      </c>
    </row>
    <row r="101">
      <c r="A101" s="25"/>
      <c r="B101" s="112" t="s">
        <v>199</v>
      </c>
      <c r="C101" s="112" t="s">
        <v>16</v>
      </c>
      <c r="D101" s="232">
        <v>30.0</v>
      </c>
      <c r="E101" s="233">
        <v>1.0</v>
      </c>
      <c r="F101" s="29">
        <v>86.95652173913044</v>
      </c>
      <c r="G101" s="81">
        <f t="shared" si="1"/>
        <v>86.95652174</v>
      </c>
      <c r="H101" s="82">
        <f t="shared" si="2"/>
        <v>108.6956522</v>
      </c>
      <c r="I101" s="43">
        <f t="shared" si="3"/>
        <v>141.3043478</v>
      </c>
      <c r="J101" s="43">
        <f t="shared" si="4"/>
        <v>148.3695652</v>
      </c>
      <c r="K101" s="43">
        <f t="shared" si="5"/>
        <v>170.625</v>
      </c>
      <c r="L101" s="155"/>
      <c r="M101" s="155"/>
      <c r="N101" s="155"/>
      <c r="O101" s="8">
        <v>170.625</v>
      </c>
      <c r="Q101" s="155"/>
    </row>
    <row r="102">
      <c r="A102" s="25"/>
      <c r="B102" s="112" t="s">
        <v>363</v>
      </c>
      <c r="C102" s="112" t="s">
        <v>16</v>
      </c>
      <c r="D102" s="232">
        <v>15.0</v>
      </c>
      <c r="E102" s="233">
        <v>1.0</v>
      </c>
      <c r="F102" s="32">
        <v>40.0</v>
      </c>
      <c r="G102" s="81">
        <f t="shared" si="1"/>
        <v>40</v>
      </c>
      <c r="H102" s="82">
        <f t="shared" si="2"/>
        <v>50</v>
      </c>
      <c r="I102" s="43">
        <f t="shared" si="3"/>
        <v>65</v>
      </c>
      <c r="J102" s="43">
        <f t="shared" si="4"/>
        <v>68.25</v>
      </c>
      <c r="K102" s="43">
        <f t="shared" si="5"/>
        <v>78.4875</v>
      </c>
      <c r="L102" s="155"/>
      <c r="M102" s="155"/>
      <c r="N102" s="155"/>
      <c r="O102" s="8">
        <v>78.4875</v>
      </c>
      <c r="Q102" s="155"/>
    </row>
    <row r="103">
      <c r="A103" s="33"/>
      <c r="B103" s="200" t="s">
        <v>343</v>
      </c>
      <c r="C103" s="200" t="s">
        <v>16</v>
      </c>
      <c r="D103" s="201">
        <v>15.0</v>
      </c>
      <c r="E103" s="202">
        <v>1.0</v>
      </c>
      <c r="F103" s="13">
        <v>35.0</v>
      </c>
      <c r="G103" s="54">
        <f t="shared" si="1"/>
        <v>35</v>
      </c>
      <c r="H103" s="55">
        <f t="shared" si="2"/>
        <v>43.75</v>
      </c>
      <c r="I103" s="14">
        <f t="shared" si="3"/>
        <v>56.875</v>
      </c>
      <c r="J103" s="14">
        <f t="shared" si="4"/>
        <v>59.71875</v>
      </c>
      <c r="K103" s="14">
        <f t="shared" si="5"/>
        <v>68.6765625</v>
      </c>
      <c r="L103" s="153"/>
      <c r="M103" s="153"/>
      <c r="N103" s="153"/>
      <c r="O103" s="8">
        <v>68.6765625</v>
      </c>
      <c r="Q103" s="153"/>
    </row>
    <row r="104">
      <c r="A104" s="175" t="s">
        <v>313</v>
      </c>
      <c r="B104" s="94" t="s">
        <v>372</v>
      </c>
      <c r="C104" s="94" t="s">
        <v>16</v>
      </c>
      <c r="D104" s="235">
        <v>30.0</v>
      </c>
      <c r="E104" s="234">
        <v>1.0</v>
      </c>
      <c r="F104" s="58">
        <v>88.70967741935483</v>
      </c>
      <c r="G104" s="81">
        <f t="shared" si="1"/>
        <v>88.70967742</v>
      </c>
      <c r="H104" s="82">
        <f t="shared" si="2"/>
        <v>110.8870968</v>
      </c>
      <c r="I104" s="82">
        <f t="shared" si="3"/>
        <v>144.1532258</v>
      </c>
      <c r="J104" s="82">
        <f t="shared" si="4"/>
        <v>151.3608871</v>
      </c>
      <c r="K104" s="82">
        <f t="shared" si="5"/>
        <v>174.0650202</v>
      </c>
      <c r="L104" s="152">
        <v>600.0</v>
      </c>
      <c r="M104" s="88">
        <f>K104+K105+K106+K107+K108</f>
        <v>415.4140827</v>
      </c>
      <c r="N104" s="154">
        <v>800.0</v>
      </c>
      <c r="O104" s="8">
        <v>174.0650201612903</v>
      </c>
      <c r="Q104" s="88">
        <f>O104+O105+O106+O107+O108</f>
        <v>415.4140827</v>
      </c>
    </row>
    <row r="105">
      <c r="A105" s="25"/>
      <c r="B105" s="112" t="s">
        <v>195</v>
      </c>
      <c r="C105" s="112" t="s">
        <v>16</v>
      </c>
      <c r="D105" s="232">
        <v>30.0</v>
      </c>
      <c r="E105" s="233">
        <v>1.0</v>
      </c>
      <c r="F105" s="29"/>
      <c r="G105" s="81">
        <f t="shared" si="1"/>
        <v>0</v>
      </c>
      <c r="H105" s="82">
        <f t="shared" si="2"/>
        <v>0</v>
      </c>
      <c r="I105" s="43">
        <f t="shared" si="3"/>
        <v>0</v>
      </c>
      <c r="J105" s="43">
        <f t="shared" si="4"/>
        <v>0</v>
      </c>
      <c r="K105" s="43">
        <f t="shared" si="5"/>
        <v>0</v>
      </c>
      <c r="L105" s="155"/>
      <c r="M105" s="155"/>
      <c r="N105" s="155"/>
      <c r="O105" s="8">
        <v>0.0</v>
      </c>
      <c r="Q105" s="155"/>
    </row>
    <row r="106">
      <c r="A106" s="25"/>
      <c r="B106" s="112" t="s">
        <v>345</v>
      </c>
      <c r="C106" s="112" t="s">
        <v>16</v>
      </c>
      <c r="D106" s="232">
        <v>60.0</v>
      </c>
      <c r="E106" s="233">
        <v>2.0</v>
      </c>
      <c r="F106" s="32">
        <v>40.0</v>
      </c>
      <c r="G106" s="81">
        <f t="shared" si="1"/>
        <v>80</v>
      </c>
      <c r="H106" s="82">
        <f t="shared" si="2"/>
        <v>100</v>
      </c>
      <c r="I106" s="43">
        <f t="shared" si="3"/>
        <v>130</v>
      </c>
      <c r="J106" s="43">
        <f t="shared" si="4"/>
        <v>136.5</v>
      </c>
      <c r="K106" s="43">
        <f t="shared" si="5"/>
        <v>156.975</v>
      </c>
      <c r="L106" s="155"/>
      <c r="M106" s="155"/>
      <c r="N106" s="155"/>
      <c r="O106" s="8">
        <v>156.975</v>
      </c>
      <c r="Q106" s="155"/>
    </row>
    <row r="107">
      <c r="A107" s="25"/>
      <c r="B107" s="112" t="s">
        <v>342</v>
      </c>
      <c r="C107" s="112" t="s">
        <v>16</v>
      </c>
      <c r="D107" s="232">
        <v>30.0</v>
      </c>
      <c r="E107" s="233">
        <v>1.0</v>
      </c>
      <c r="F107" s="32">
        <v>40.0</v>
      </c>
      <c r="G107" s="81">
        <f t="shared" si="1"/>
        <v>40</v>
      </c>
      <c r="H107" s="82">
        <f t="shared" si="2"/>
        <v>50</v>
      </c>
      <c r="I107" s="43">
        <f t="shared" si="3"/>
        <v>65</v>
      </c>
      <c r="J107" s="43">
        <f t="shared" si="4"/>
        <v>68.25</v>
      </c>
      <c r="K107" s="43">
        <f t="shared" si="5"/>
        <v>78.4875</v>
      </c>
      <c r="L107" s="155"/>
      <c r="M107" s="155"/>
      <c r="N107" s="155"/>
      <c r="O107" s="8">
        <v>78.4875</v>
      </c>
      <c r="Q107" s="155"/>
    </row>
    <row r="108">
      <c r="A108" s="33"/>
      <c r="B108" s="200" t="s">
        <v>373</v>
      </c>
      <c r="C108" s="200" t="s">
        <v>16</v>
      </c>
      <c r="D108" s="201">
        <v>15.0</v>
      </c>
      <c r="E108" s="202">
        <v>1.0</v>
      </c>
      <c r="F108" s="13">
        <v>3.0</v>
      </c>
      <c r="G108" s="54">
        <f t="shared" si="1"/>
        <v>3</v>
      </c>
      <c r="H108" s="55">
        <f t="shared" si="2"/>
        <v>3.75</v>
      </c>
      <c r="I108" s="14">
        <f t="shared" si="3"/>
        <v>4.875</v>
      </c>
      <c r="J108" s="14">
        <f t="shared" si="4"/>
        <v>5.11875</v>
      </c>
      <c r="K108" s="14">
        <f t="shared" si="5"/>
        <v>5.8865625</v>
      </c>
      <c r="L108" s="153"/>
      <c r="M108" s="153"/>
      <c r="N108" s="153"/>
      <c r="O108" s="8">
        <v>5.8865625</v>
      </c>
      <c r="Q108" s="153"/>
    </row>
    <row r="109">
      <c r="A109" s="149" t="s">
        <v>314</v>
      </c>
      <c r="B109" s="94" t="s">
        <v>372</v>
      </c>
      <c r="C109" s="94" t="s">
        <v>16</v>
      </c>
      <c r="D109" s="235">
        <v>60.0</v>
      </c>
      <c r="E109" s="234">
        <v>2.0</v>
      </c>
      <c r="F109" s="58">
        <v>88.70967741935483</v>
      </c>
      <c r="G109" s="81">
        <f t="shared" si="1"/>
        <v>177.4193548</v>
      </c>
      <c r="H109" s="82">
        <f t="shared" si="2"/>
        <v>221.7741935</v>
      </c>
      <c r="I109" s="82">
        <f t="shared" si="3"/>
        <v>288.3064516</v>
      </c>
      <c r="J109" s="82">
        <f t="shared" si="4"/>
        <v>302.7217742</v>
      </c>
      <c r="K109" s="82">
        <f t="shared" si="5"/>
        <v>348.1300403</v>
      </c>
      <c r="L109" s="152">
        <v>600.0</v>
      </c>
      <c r="M109" s="88">
        <f>K109+K110+K111+K112+K113</f>
        <v>809.2441028</v>
      </c>
      <c r="N109" s="154">
        <v>900.0</v>
      </c>
      <c r="O109" s="8">
        <v>348.1300403225806</v>
      </c>
      <c r="Q109" s="88">
        <f>O109+O110+O111+O112+O113</f>
        <v>809.2441028</v>
      </c>
    </row>
    <row r="110">
      <c r="A110" s="25"/>
      <c r="B110" s="112" t="s">
        <v>345</v>
      </c>
      <c r="C110" s="112" t="s">
        <v>16</v>
      </c>
      <c r="D110" s="232">
        <v>60.0</v>
      </c>
      <c r="E110" s="233">
        <v>2.0</v>
      </c>
      <c r="F110" s="32">
        <v>40.0</v>
      </c>
      <c r="G110" s="81">
        <f t="shared" si="1"/>
        <v>80</v>
      </c>
      <c r="H110" s="82">
        <f t="shared" si="2"/>
        <v>100</v>
      </c>
      <c r="I110" s="43">
        <f t="shared" si="3"/>
        <v>130</v>
      </c>
      <c r="J110" s="43">
        <f t="shared" si="4"/>
        <v>136.5</v>
      </c>
      <c r="K110" s="43">
        <f t="shared" si="5"/>
        <v>156.975</v>
      </c>
      <c r="L110" s="155"/>
      <c r="M110" s="155"/>
      <c r="N110" s="155"/>
      <c r="O110" s="8">
        <v>156.975</v>
      </c>
      <c r="Q110" s="155"/>
    </row>
    <row r="111">
      <c r="A111" s="25"/>
      <c r="B111" s="112" t="s">
        <v>343</v>
      </c>
      <c r="C111" s="112" t="s">
        <v>16</v>
      </c>
      <c r="D111" s="232">
        <v>30.0</v>
      </c>
      <c r="E111" s="233">
        <v>1.0</v>
      </c>
      <c r="F111" s="32">
        <v>35.0</v>
      </c>
      <c r="G111" s="81">
        <f t="shared" si="1"/>
        <v>35</v>
      </c>
      <c r="H111" s="82">
        <f t="shared" si="2"/>
        <v>43.75</v>
      </c>
      <c r="I111" s="43">
        <f t="shared" si="3"/>
        <v>56.875</v>
      </c>
      <c r="J111" s="43">
        <f t="shared" si="4"/>
        <v>59.71875</v>
      </c>
      <c r="K111" s="43">
        <f t="shared" si="5"/>
        <v>68.6765625</v>
      </c>
      <c r="L111" s="155"/>
      <c r="M111" s="155"/>
      <c r="N111" s="155"/>
      <c r="O111" s="8">
        <v>68.6765625</v>
      </c>
      <c r="Q111" s="155"/>
    </row>
    <row r="112">
      <c r="A112" s="25"/>
      <c r="B112" s="236" t="s">
        <v>374</v>
      </c>
      <c r="C112" s="236" t="s">
        <v>16</v>
      </c>
      <c r="D112" s="241"/>
      <c r="E112" s="237">
        <v>1.0</v>
      </c>
      <c r="F112" s="242">
        <v>100.0</v>
      </c>
      <c r="G112" s="81">
        <f t="shared" si="1"/>
        <v>100</v>
      </c>
      <c r="H112" s="82">
        <f t="shared" si="2"/>
        <v>125</v>
      </c>
      <c r="I112" s="43">
        <f t="shared" si="3"/>
        <v>162.5</v>
      </c>
      <c r="J112" s="43">
        <f t="shared" si="4"/>
        <v>170.625</v>
      </c>
      <c r="K112" s="43">
        <f t="shared" si="5"/>
        <v>196.21875</v>
      </c>
      <c r="L112" s="155"/>
      <c r="M112" s="155"/>
      <c r="N112" s="155"/>
      <c r="O112" s="8">
        <v>196.21875</v>
      </c>
      <c r="Q112" s="155"/>
    </row>
    <row r="113">
      <c r="A113" s="33"/>
      <c r="B113" s="200" t="s">
        <v>342</v>
      </c>
      <c r="C113" s="200" t="s">
        <v>16</v>
      </c>
      <c r="D113" s="201">
        <v>30.0</v>
      </c>
      <c r="E113" s="202">
        <v>1.0</v>
      </c>
      <c r="F113" s="13">
        <v>20.0</v>
      </c>
      <c r="G113" s="54">
        <f t="shared" si="1"/>
        <v>20</v>
      </c>
      <c r="H113" s="55">
        <f t="shared" si="2"/>
        <v>25</v>
      </c>
      <c r="I113" s="14">
        <f t="shared" si="3"/>
        <v>32.5</v>
      </c>
      <c r="J113" s="14">
        <f t="shared" si="4"/>
        <v>34.125</v>
      </c>
      <c r="K113" s="14">
        <f t="shared" si="5"/>
        <v>39.24375</v>
      </c>
      <c r="L113" s="153"/>
      <c r="M113" s="153"/>
      <c r="N113" s="153"/>
      <c r="O113" s="8">
        <v>39.24375</v>
      </c>
      <c r="Q113" s="153"/>
    </row>
    <row r="114">
      <c r="A114" s="149" t="s">
        <v>315</v>
      </c>
      <c r="B114" s="94" t="s">
        <v>357</v>
      </c>
      <c r="C114" s="94" t="s">
        <v>16</v>
      </c>
      <c r="D114" s="235">
        <v>45.0</v>
      </c>
      <c r="E114" s="234">
        <v>1.25</v>
      </c>
      <c r="F114" s="58">
        <v>156.70308064516126</v>
      </c>
      <c r="G114" s="81">
        <f t="shared" si="1"/>
        <v>195.8788508</v>
      </c>
      <c r="H114" s="82">
        <f t="shared" si="2"/>
        <v>244.8485635</v>
      </c>
      <c r="I114" s="82">
        <f t="shared" si="3"/>
        <v>318.3031326</v>
      </c>
      <c r="J114" s="82">
        <f t="shared" si="4"/>
        <v>334.2182892</v>
      </c>
      <c r="K114" s="82">
        <f t="shared" si="5"/>
        <v>384.3510326</v>
      </c>
      <c r="L114" s="152">
        <v>1500.0</v>
      </c>
      <c r="M114" s="88">
        <f>K114+K115+K116+K117+K118</f>
        <v>1532.334961</v>
      </c>
      <c r="N114" s="154">
        <v>1700.0</v>
      </c>
      <c r="O114" s="8">
        <v>384.35103256678417</v>
      </c>
      <c r="Q114" s="88">
        <f>O114+O115+O116+O117+O118</f>
        <v>1532.334961</v>
      </c>
    </row>
    <row r="115">
      <c r="A115" s="25"/>
      <c r="B115" s="121" t="s">
        <v>84</v>
      </c>
      <c r="C115" s="112" t="s">
        <v>16</v>
      </c>
      <c r="D115" s="232">
        <v>30.0</v>
      </c>
      <c r="E115" s="233">
        <v>1.0</v>
      </c>
      <c r="F115" s="29">
        <v>245.021875</v>
      </c>
      <c r="G115" s="81">
        <f t="shared" si="1"/>
        <v>245.021875</v>
      </c>
      <c r="H115" s="82">
        <f t="shared" si="2"/>
        <v>306.2773438</v>
      </c>
      <c r="I115" s="43">
        <f t="shared" si="3"/>
        <v>398.1605469</v>
      </c>
      <c r="J115" s="43">
        <f t="shared" si="4"/>
        <v>418.0685742</v>
      </c>
      <c r="K115" s="43">
        <f t="shared" si="5"/>
        <v>480.7788604</v>
      </c>
      <c r="L115" s="155"/>
      <c r="M115" s="155"/>
      <c r="N115" s="155"/>
      <c r="O115" s="8">
        <v>480.7788603515625</v>
      </c>
      <c r="Q115" s="155"/>
    </row>
    <row r="116">
      <c r="A116" s="25"/>
      <c r="B116" s="112" t="s">
        <v>366</v>
      </c>
      <c r="C116" s="112" t="s">
        <v>16</v>
      </c>
      <c r="D116" s="232">
        <v>30.0</v>
      </c>
      <c r="E116" s="233">
        <v>1.0</v>
      </c>
      <c r="F116" s="29">
        <v>260.03125</v>
      </c>
      <c r="G116" s="81">
        <f t="shared" si="1"/>
        <v>260.03125</v>
      </c>
      <c r="H116" s="82">
        <f t="shared" si="2"/>
        <v>325.0390625</v>
      </c>
      <c r="I116" s="43">
        <f t="shared" si="3"/>
        <v>422.5507813</v>
      </c>
      <c r="J116" s="43">
        <f t="shared" si="4"/>
        <v>443.6783203</v>
      </c>
      <c r="K116" s="43">
        <f t="shared" si="5"/>
        <v>510.2300684</v>
      </c>
      <c r="L116" s="155"/>
      <c r="M116" s="155"/>
      <c r="N116" s="155"/>
      <c r="O116" s="8">
        <v>510.23006835937497</v>
      </c>
      <c r="Q116" s="155"/>
    </row>
    <row r="117">
      <c r="A117" s="25"/>
      <c r="B117" s="112" t="s">
        <v>375</v>
      </c>
      <c r="C117" s="112" t="s">
        <v>16</v>
      </c>
      <c r="D117" s="232">
        <v>15.0</v>
      </c>
      <c r="E117" s="233">
        <v>1.0</v>
      </c>
      <c r="F117" s="32">
        <v>60.0</v>
      </c>
      <c r="G117" s="81">
        <f t="shared" si="1"/>
        <v>60</v>
      </c>
      <c r="H117" s="82">
        <f t="shared" si="2"/>
        <v>75</v>
      </c>
      <c r="I117" s="43">
        <f t="shared" si="3"/>
        <v>97.5</v>
      </c>
      <c r="J117" s="43">
        <f t="shared" si="4"/>
        <v>102.375</v>
      </c>
      <c r="K117" s="43">
        <f t="shared" si="5"/>
        <v>117.73125</v>
      </c>
      <c r="L117" s="155"/>
      <c r="M117" s="155"/>
      <c r="N117" s="155"/>
      <c r="O117" s="8">
        <v>117.73125</v>
      </c>
      <c r="Q117" s="155"/>
    </row>
    <row r="118">
      <c r="A118" s="33"/>
      <c r="B118" s="200" t="s">
        <v>376</v>
      </c>
      <c r="C118" s="200" t="s">
        <v>16</v>
      </c>
      <c r="D118" s="202">
        <v>15.0</v>
      </c>
      <c r="E118" s="202">
        <v>1.0</v>
      </c>
      <c r="F118" s="13">
        <v>20.0</v>
      </c>
      <c r="G118" s="54">
        <f t="shared" si="1"/>
        <v>20</v>
      </c>
      <c r="H118" s="55">
        <f t="shared" si="2"/>
        <v>25</v>
      </c>
      <c r="I118" s="14">
        <f t="shared" si="3"/>
        <v>32.5</v>
      </c>
      <c r="J118" s="14">
        <f t="shared" si="4"/>
        <v>34.125</v>
      </c>
      <c r="K118" s="14">
        <f t="shared" si="5"/>
        <v>39.24375</v>
      </c>
      <c r="L118" s="153"/>
      <c r="M118" s="153"/>
      <c r="N118" s="153"/>
      <c r="O118" s="8">
        <v>39.24375</v>
      </c>
      <c r="Q118" s="153"/>
    </row>
    <row r="119">
      <c r="A119" s="156" t="s">
        <v>316</v>
      </c>
      <c r="B119" s="188" t="s">
        <v>356</v>
      </c>
      <c r="C119" s="94" t="s">
        <v>16</v>
      </c>
      <c r="D119" s="235">
        <v>60.0</v>
      </c>
      <c r="E119" s="234">
        <v>2.0</v>
      </c>
      <c r="F119" s="58">
        <v>156.25</v>
      </c>
      <c r="G119" s="81">
        <f t="shared" si="1"/>
        <v>312.5</v>
      </c>
      <c r="H119" s="82">
        <f t="shared" si="2"/>
        <v>390.625</v>
      </c>
      <c r="I119" s="82">
        <f t="shared" si="3"/>
        <v>507.8125</v>
      </c>
      <c r="J119" s="82">
        <f t="shared" si="4"/>
        <v>533.203125</v>
      </c>
      <c r="K119" s="82">
        <f t="shared" si="5"/>
        <v>613.1835938</v>
      </c>
      <c r="L119" s="152">
        <v>1100.0</v>
      </c>
      <c r="M119" s="88">
        <f>K119+K120+K121+K122+K123</f>
        <v>885.9276563</v>
      </c>
      <c r="N119" s="196">
        <v>1200.0</v>
      </c>
      <c r="O119" s="8">
        <v>613.18359375</v>
      </c>
      <c r="Q119" s="88">
        <f>O119+O120+O121+O122+O123</f>
        <v>789.7804688</v>
      </c>
    </row>
    <row r="120">
      <c r="A120" s="25"/>
      <c r="B120" s="121" t="s">
        <v>377</v>
      </c>
      <c r="C120" s="112" t="s">
        <v>16</v>
      </c>
      <c r="D120" s="232">
        <v>30.0</v>
      </c>
      <c r="E120" s="233">
        <v>1.0</v>
      </c>
      <c r="F120" s="32">
        <v>30.0</v>
      </c>
      <c r="G120" s="81">
        <f t="shared" si="1"/>
        <v>30</v>
      </c>
      <c r="H120" s="82">
        <f t="shared" si="2"/>
        <v>37.5</v>
      </c>
      <c r="I120" s="43">
        <f t="shared" si="3"/>
        <v>48.75</v>
      </c>
      <c r="J120" s="43">
        <f t="shared" si="4"/>
        <v>51.1875</v>
      </c>
      <c r="K120" s="43">
        <f t="shared" si="5"/>
        <v>58.865625</v>
      </c>
      <c r="L120" s="155"/>
      <c r="M120" s="155"/>
      <c r="N120" s="155"/>
      <c r="O120" s="8">
        <v>58.865625</v>
      </c>
      <c r="Q120" s="155"/>
    </row>
    <row r="121">
      <c r="A121" s="25"/>
      <c r="B121" s="112" t="s">
        <v>342</v>
      </c>
      <c r="C121" s="112" t="s">
        <v>16</v>
      </c>
      <c r="D121" s="232">
        <v>30.0</v>
      </c>
      <c r="E121" s="233">
        <v>1.0</v>
      </c>
      <c r="F121" s="32">
        <v>20.0</v>
      </c>
      <c r="G121" s="81">
        <f t="shared" si="1"/>
        <v>20</v>
      </c>
      <c r="H121" s="82">
        <f t="shared" si="2"/>
        <v>25</v>
      </c>
      <c r="I121" s="43">
        <f t="shared" si="3"/>
        <v>32.5</v>
      </c>
      <c r="J121" s="43">
        <f t="shared" si="4"/>
        <v>34.125</v>
      </c>
      <c r="K121" s="43">
        <f t="shared" si="5"/>
        <v>39.24375</v>
      </c>
      <c r="L121" s="155"/>
      <c r="M121" s="155"/>
      <c r="N121" s="155"/>
      <c r="O121" s="8">
        <v>39.24375</v>
      </c>
      <c r="Q121" s="155"/>
    </row>
    <row r="122">
      <c r="A122" s="25"/>
      <c r="B122" s="112" t="s">
        <v>343</v>
      </c>
      <c r="C122" s="112" t="s">
        <v>16</v>
      </c>
      <c r="D122" s="232">
        <v>30.0</v>
      </c>
      <c r="E122" s="233">
        <v>1.0</v>
      </c>
      <c r="F122" s="32">
        <v>35.0</v>
      </c>
      <c r="G122" s="81">
        <f t="shared" si="1"/>
        <v>35</v>
      </c>
      <c r="H122" s="82">
        <f t="shared" si="2"/>
        <v>43.75</v>
      </c>
      <c r="I122" s="43">
        <f t="shared" si="3"/>
        <v>56.875</v>
      </c>
      <c r="J122" s="43">
        <f t="shared" si="4"/>
        <v>59.71875</v>
      </c>
      <c r="K122" s="43">
        <f t="shared" si="5"/>
        <v>68.6765625</v>
      </c>
      <c r="L122" s="155"/>
      <c r="M122" s="155"/>
      <c r="N122" s="155"/>
      <c r="O122" s="8">
        <v>68.6765625</v>
      </c>
      <c r="Q122" s="155"/>
    </row>
    <row r="123">
      <c r="A123" s="33"/>
      <c r="B123" s="200" t="s">
        <v>368</v>
      </c>
      <c r="C123" s="200" t="s">
        <v>16</v>
      </c>
      <c r="D123" s="202">
        <v>3.0</v>
      </c>
      <c r="E123" s="202">
        <v>1.0</v>
      </c>
      <c r="F123" s="13">
        <v>54.0</v>
      </c>
      <c r="G123" s="54">
        <f t="shared" si="1"/>
        <v>54</v>
      </c>
      <c r="H123" s="55">
        <f t="shared" si="2"/>
        <v>67.5</v>
      </c>
      <c r="I123" s="14">
        <f t="shared" si="3"/>
        <v>87.75</v>
      </c>
      <c r="J123" s="14">
        <f t="shared" si="4"/>
        <v>92.1375</v>
      </c>
      <c r="K123" s="14">
        <f t="shared" si="5"/>
        <v>105.958125</v>
      </c>
      <c r="L123" s="153"/>
      <c r="M123" s="153"/>
      <c r="N123" s="153"/>
      <c r="O123" s="8">
        <v>9.8109375</v>
      </c>
      <c r="Q123" s="153"/>
    </row>
    <row r="124">
      <c r="A124" s="156" t="s">
        <v>317</v>
      </c>
      <c r="B124" s="188" t="s">
        <v>356</v>
      </c>
      <c r="C124" s="94" t="s">
        <v>16</v>
      </c>
      <c r="D124" s="235">
        <v>60.0</v>
      </c>
      <c r="E124" s="234">
        <v>2.0</v>
      </c>
      <c r="F124" s="58">
        <v>156.25</v>
      </c>
      <c r="G124" s="81">
        <f t="shared" si="1"/>
        <v>312.5</v>
      </c>
      <c r="H124" s="82">
        <f t="shared" si="2"/>
        <v>390.625</v>
      </c>
      <c r="I124" s="82">
        <f t="shared" si="3"/>
        <v>507.8125</v>
      </c>
      <c r="J124" s="82">
        <f t="shared" si="4"/>
        <v>533.203125</v>
      </c>
      <c r="K124" s="82">
        <f t="shared" si="5"/>
        <v>613.1835938</v>
      </c>
      <c r="L124" s="152">
        <v>1100.0</v>
      </c>
      <c r="M124" s="88">
        <f>K124+K125+K126+K127</f>
        <v>827.0620313</v>
      </c>
      <c r="N124" s="154">
        <v>1200.0</v>
      </c>
      <c r="O124" s="8">
        <v>613.18359375</v>
      </c>
      <c r="Q124" s="88">
        <f>O124+O125+O126+O127</f>
        <v>730.9148438</v>
      </c>
    </row>
    <row r="125">
      <c r="A125" s="25"/>
      <c r="B125" s="112" t="s">
        <v>342</v>
      </c>
      <c r="C125" s="112" t="s">
        <v>16</v>
      </c>
      <c r="D125" s="232">
        <v>30.0</v>
      </c>
      <c r="E125" s="233">
        <v>1.0</v>
      </c>
      <c r="F125" s="32">
        <v>20.0</v>
      </c>
      <c r="G125" s="81">
        <f t="shared" si="1"/>
        <v>20</v>
      </c>
      <c r="H125" s="82">
        <f t="shared" si="2"/>
        <v>25</v>
      </c>
      <c r="I125" s="43">
        <f t="shared" si="3"/>
        <v>32.5</v>
      </c>
      <c r="J125" s="43">
        <f t="shared" si="4"/>
        <v>34.125</v>
      </c>
      <c r="K125" s="43">
        <f t="shared" si="5"/>
        <v>39.24375</v>
      </c>
      <c r="L125" s="155"/>
      <c r="M125" s="155"/>
      <c r="N125" s="155"/>
      <c r="O125" s="8">
        <v>39.24375</v>
      </c>
      <c r="Q125" s="155"/>
    </row>
    <row r="126">
      <c r="A126" s="25"/>
      <c r="B126" s="112" t="s">
        <v>343</v>
      </c>
      <c r="C126" s="112" t="s">
        <v>16</v>
      </c>
      <c r="D126" s="232">
        <v>30.0</v>
      </c>
      <c r="E126" s="233">
        <v>1.0</v>
      </c>
      <c r="F126" s="32">
        <v>35.0</v>
      </c>
      <c r="G126" s="81">
        <f t="shared" si="1"/>
        <v>35</v>
      </c>
      <c r="H126" s="82">
        <f t="shared" si="2"/>
        <v>43.75</v>
      </c>
      <c r="I126" s="43">
        <f t="shared" si="3"/>
        <v>56.875</v>
      </c>
      <c r="J126" s="43">
        <f t="shared" si="4"/>
        <v>59.71875</v>
      </c>
      <c r="K126" s="43">
        <f t="shared" si="5"/>
        <v>68.6765625</v>
      </c>
      <c r="L126" s="155"/>
      <c r="M126" s="155"/>
      <c r="N126" s="155"/>
      <c r="O126" s="8">
        <v>68.6765625</v>
      </c>
      <c r="Q126" s="155"/>
    </row>
    <row r="127">
      <c r="A127" s="33"/>
      <c r="B127" s="200" t="s">
        <v>368</v>
      </c>
      <c r="C127" s="200" t="s">
        <v>16</v>
      </c>
      <c r="D127" s="202">
        <v>3.0</v>
      </c>
      <c r="E127" s="202">
        <v>1.0</v>
      </c>
      <c r="F127" s="13">
        <v>54.0</v>
      </c>
      <c r="G127" s="54">
        <f t="shared" si="1"/>
        <v>54</v>
      </c>
      <c r="H127" s="55">
        <f t="shared" si="2"/>
        <v>67.5</v>
      </c>
      <c r="I127" s="14">
        <f t="shared" si="3"/>
        <v>87.75</v>
      </c>
      <c r="J127" s="14">
        <f t="shared" si="4"/>
        <v>92.1375</v>
      </c>
      <c r="K127" s="14">
        <f t="shared" si="5"/>
        <v>105.958125</v>
      </c>
      <c r="L127" s="153"/>
      <c r="M127" s="153"/>
      <c r="N127" s="153"/>
      <c r="O127" s="8">
        <v>9.8109375</v>
      </c>
      <c r="Q127" s="153"/>
    </row>
    <row r="128">
      <c r="A128" s="149" t="s">
        <v>318</v>
      </c>
      <c r="B128" s="94" t="s">
        <v>341</v>
      </c>
      <c r="C128" s="94" t="s">
        <v>16</v>
      </c>
      <c r="D128" s="235">
        <v>60.0</v>
      </c>
      <c r="E128" s="234">
        <v>2.0</v>
      </c>
      <c r="F128" s="22">
        <v>86.96</v>
      </c>
      <c r="G128" s="81">
        <f t="shared" si="1"/>
        <v>173.92</v>
      </c>
      <c r="H128" s="82">
        <f t="shared" si="2"/>
        <v>217.4</v>
      </c>
      <c r="I128" s="82">
        <f t="shared" si="3"/>
        <v>282.62</v>
      </c>
      <c r="J128" s="82">
        <f t="shared" si="4"/>
        <v>296.751</v>
      </c>
      <c r="K128" s="82">
        <f t="shared" si="5"/>
        <v>341.26365</v>
      </c>
      <c r="L128" s="88"/>
      <c r="M128" s="88">
        <f>K128+K129</f>
        <v>899.2607203</v>
      </c>
      <c r="N128" s="154">
        <v>1000.0</v>
      </c>
      <c r="O128" s="8">
        <v>341.2636499999999</v>
      </c>
      <c r="Q128" s="88">
        <f>O128+O129</f>
        <v>899.2607203</v>
      </c>
    </row>
    <row r="129">
      <c r="A129" s="33"/>
      <c r="B129" s="200" t="s">
        <v>350</v>
      </c>
      <c r="C129" s="200" t="s">
        <v>16</v>
      </c>
      <c r="D129" s="201">
        <v>30.0</v>
      </c>
      <c r="E129" s="202">
        <v>1.0</v>
      </c>
      <c r="F129" s="37">
        <v>284.375</v>
      </c>
      <c r="G129" s="54">
        <f t="shared" si="1"/>
        <v>284.375</v>
      </c>
      <c r="H129" s="55">
        <f t="shared" si="2"/>
        <v>355.46875</v>
      </c>
      <c r="I129" s="14">
        <f t="shared" si="3"/>
        <v>462.109375</v>
      </c>
      <c r="J129" s="14">
        <f t="shared" si="4"/>
        <v>485.2148438</v>
      </c>
      <c r="K129" s="14">
        <f t="shared" si="5"/>
        <v>557.9970703</v>
      </c>
      <c r="L129" s="153"/>
      <c r="M129" s="153"/>
      <c r="N129" s="153"/>
      <c r="O129" s="8">
        <v>557.9970703125</v>
      </c>
      <c r="Q129" s="153"/>
    </row>
    <row r="130">
      <c r="A130" s="243" t="s">
        <v>319</v>
      </c>
      <c r="B130" s="94" t="s">
        <v>357</v>
      </c>
      <c r="C130" s="94" t="s">
        <v>16</v>
      </c>
      <c r="D130" s="235">
        <v>60.0</v>
      </c>
      <c r="E130" s="234">
        <v>2.0</v>
      </c>
      <c r="F130" s="22">
        <v>156.7</v>
      </c>
      <c r="G130" s="81">
        <f t="shared" si="1"/>
        <v>313.4</v>
      </c>
      <c r="H130" s="82">
        <f t="shared" si="2"/>
        <v>391.75</v>
      </c>
      <c r="I130" s="82">
        <f t="shared" si="3"/>
        <v>509.275</v>
      </c>
      <c r="J130" s="82">
        <f t="shared" si="4"/>
        <v>534.73875</v>
      </c>
      <c r="K130" s="82">
        <f t="shared" si="5"/>
        <v>614.9495625</v>
      </c>
      <c r="L130" s="152">
        <v>1400.0</v>
      </c>
      <c r="M130" s="88">
        <f>K130+K131+K132+K133</f>
        <v>1147.481118</v>
      </c>
      <c r="N130" s="154">
        <v>1500.0</v>
      </c>
      <c r="O130" s="8">
        <v>614.9616521068547</v>
      </c>
      <c r="Q130" s="88">
        <f>O130+O131+O132+O133</f>
        <v>1147.493208</v>
      </c>
    </row>
    <row r="131">
      <c r="A131" s="25"/>
      <c r="B131" s="112" t="s">
        <v>45</v>
      </c>
      <c r="C131" s="112" t="s">
        <v>16</v>
      </c>
      <c r="D131" s="232">
        <v>30.0</v>
      </c>
      <c r="E131" s="233">
        <v>1.0</v>
      </c>
      <c r="F131" s="32">
        <v>207.646875</v>
      </c>
      <c r="G131" s="81">
        <f t="shared" si="1"/>
        <v>207.646875</v>
      </c>
      <c r="H131" s="82">
        <f t="shared" si="2"/>
        <v>259.5585938</v>
      </c>
      <c r="I131" s="43">
        <f t="shared" si="3"/>
        <v>337.4261719</v>
      </c>
      <c r="J131" s="43">
        <f t="shared" si="4"/>
        <v>354.2974805</v>
      </c>
      <c r="K131" s="43">
        <f t="shared" si="5"/>
        <v>407.4421025</v>
      </c>
      <c r="L131" s="155"/>
      <c r="M131" s="155"/>
      <c r="N131" s="155"/>
      <c r="O131" s="8">
        <v>407.4421025390625</v>
      </c>
      <c r="Q131" s="155"/>
    </row>
    <row r="132">
      <c r="A132" s="25"/>
      <c r="B132" s="112" t="s">
        <v>343</v>
      </c>
      <c r="C132" s="112" t="s">
        <v>16</v>
      </c>
      <c r="D132" s="232">
        <v>45.0</v>
      </c>
      <c r="E132" s="233">
        <v>1.25</v>
      </c>
      <c r="F132" s="32">
        <v>35.0</v>
      </c>
      <c r="G132" s="81">
        <f t="shared" si="1"/>
        <v>43.75</v>
      </c>
      <c r="H132" s="82">
        <f t="shared" si="2"/>
        <v>54.6875</v>
      </c>
      <c r="I132" s="43">
        <f t="shared" si="3"/>
        <v>71.09375</v>
      </c>
      <c r="J132" s="43">
        <f t="shared" si="4"/>
        <v>74.6484375</v>
      </c>
      <c r="K132" s="43">
        <f t="shared" si="5"/>
        <v>85.84570313</v>
      </c>
      <c r="L132" s="155"/>
      <c r="M132" s="155"/>
      <c r="N132" s="155"/>
      <c r="O132" s="8">
        <v>85.845703125</v>
      </c>
      <c r="Q132" s="155"/>
    </row>
    <row r="133">
      <c r="A133" s="33"/>
      <c r="B133" s="200" t="s">
        <v>342</v>
      </c>
      <c r="C133" s="200" t="s">
        <v>16</v>
      </c>
      <c r="D133" s="201">
        <v>30.0</v>
      </c>
      <c r="E133" s="202">
        <v>1.0</v>
      </c>
      <c r="F133" s="13">
        <v>20.0</v>
      </c>
      <c r="G133" s="54">
        <f t="shared" si="1"/>
        <v>20</v>
      </c>
      <c r="H133" s="55">
        <f t="shared" si="2"/>
        <v>25</v>
      </c>
      <c r="I133" s="14">
        <f t="shared" si="3"/>
        <v>32.5</v>
      </c>
      <c r="J133" s="14">
        <f t="shared" si="4"/>
        <v>34.125</v>
      </c>
      <c r="K133" s="14">
        <f t="shared" si="5"/>
        <v>39.24375</v>
      </c>
      <c r="L133" s="153"/>
      <c r="M133" s="153"/>
      <c r="N133" s="153"/>
      <c r="O133" s="8">
        <v>39.24375</v>
      </c>
      <c r="Q133" s="153"/>
    </row>
    <row r="134">
      <c r="A134" s="243" t="s">
        <v>320</v>
      </c>
      <c r="B134" s="94" t="s">
        <v>357</v>
      </c>
      <c r="C134" s="94" t="s">
        <v>16</v>
      </c>
      <c r="D134" s="235">
        <v>60.0</v>
      </c>
      <c r="E134" s="234">
        <v>2.0</v>
      </c>
      <c r="F134" s="58">
        <v>156.70308064516126</v>
      </c>
      <c r="G134" s="81">
        <f t="shared" si="1"/>
        <v>313.4061613</v>
      </c>
      <c r="H134" s="82">
        <f t="shared" si="2"/>
        <v>391.7577016</v>
      </c>
      <c r="I134" s="82">
        <f t="shared" si="3"/>
        <v>509.2850121</v>
      </c>
      <c r="J134" s="82">
        <f t="shared" si="4"/>
        <v>534.7492627</v>
      </c>
      <c r="K134" s="82">
        <f t="shared" si="5"/>
        <v>614.9616521</v>
      </c>
      <c r="L134" s="152">
        <v>1400.0</v>
      </c>
      <c r="M134" s="88">
        <f>K134+K135+K136+K137</f>
        <v>1130.324067</v>
      </c>
      <c r="N134" s="154">
        <v>1500.0</v>
      </c>
      <c r="O134" s="8">
        <v>614.9616521068547</v>
      </c>
      <c r="Q134" s="88">
        <f>O134+O135+O136+O137</f>
        <v>1130.324067</v>
      </c>
    </row>
    <row r="135">
      <c r="A135" s="25"/>
      <c r="B135" s="112" t="s">
        <v>45</v>
      </c>
      <c r="C135" s="112" t="s">
        <v>16</v>
      </c>
      <c r="D135" s="28">
        <v>30.0</v>
      </c>
      <c r="E135" s="63">
        <v>1.0</v>
      </c>
      <c r="F135" s="32">
        <v>207.646875</v>
      </c>
      <c r="G135" s="81">
        <f t="shared" si="1"/>
        <v>207.646875</v>
      </c>
      <c r="H135" s="82">
        <f t="shared" si="2"/>
        <v>259.5585938</v>
      </c>
      <c r="I135" s="43">
        <f t="shared" si="3"/>
        <v>337.4261719</v>
      </c>
      <c r="J135" s="43">
        <f t="shared" si="4"/>
        <v>354.2974805</v>
      </c>
      <c r="K135" s="43">
        <f t="shared" si="5"/>
        <v>407.4421025</v>
      </c>
      <c r="L135" s="155"/>
      <c r="M135" s="155"/>
      <c r="N135" s="155"/>
      <c r="O135" s="8">
        <v>407.4421025390625</v>
      </c>
      <c r="Q135" s="155"/>
    </row>
    <row r="136">
      <c r="A136" s="25"/>
      <c r="B136" s="112" t="s">
        <v>343</v>
      </c>
      <c r="C136" s="112" t="s">
        <v>16</v>
      </c>
      <c r="D136" s="28">
        <v>30.0</v>
      </c>
      <c r="E136" s="63">
        <v>1.0</v>
      </c>
      <c r="F136" s="32">
        <v>35.0</v>
      </c>
      <c r="G136" s="81">
        <f t="shared" si="1"/>
        <v>35</v>
      </c>
      <c r="H136" s="82">
        <f t="shared" si="2"/>
        <v>43.75</v>
      </c>
      <c r="I136" s="43">
        <f t="shared" si="3"/>
        <v>56.875</v>
      </c>
      <c r="J136" s="43">
        <f t="shared" si="4"/>
        <v>59.71875</v>
      </c>
      <c r="K136" s="43">
        <f t="shared" si="5"/>
        <v>68.6765625</v>
      </c>
      <c r="L136" s="155"/>
      <c r="M136" s="155"/>
      <c r="N136" s="155"/>
      <c r="O136" s="8">
        <v>68.6765625</v>
      </c>
      <c r="Q136" s="155"/>
    </row>
    <row r="137">
      <c r="A137" s="33"/>
      <c r="B137" s="200" t="s">
        <v>342</v>
      </c>
      <c r="C137" s="200" t="s">
        <v>16</v>
      </c>
      <c r="D137" s="36">
        <v>30.0</v>
      </c>
      <c r="E137" s="48">
        <v>1.0</v>
      </c>
      <c r="F137" s="13">
        <v>20.0</v>
      </c>
      <c r="G137" s="54">
        <f t="shared" si="1"/>
        <v>20</v>
      </c>
      <c r="H137" s="55">
        <f t="shared" si="2"/>
        <v>25</v>
      </c>
      <c r="I137" s="14">
        <f t="shared" si="3"/>
        <v>32.5</v>
      </c>
      <c r="J137" s="14">
        <f t="shared" si="4"/>
        <v>34.125</v>
      </c>
      <c r="K137" s="14">
        <f t="shared" si="5"/>
        <v>39.24375</v>
      </c>
      <c r="L137" s="153"/>
      <c r="M137" s="153"/>
      <c r="N137" s="153"/>
      <c r="O137" s="8">
        <v>39.24375</v>
      </c>
      <c r="Q137" s="153"/>
    </row>
    <row r="138">
      <c r="A138" s="156" t="s">
        <v>321</v>
      </c>
      <c r="B138" s="120" t="s">
        <v>372</v>
      </c>
      <c r="C138" s="94" t="s">
        <v>16</v>
      </c>
      <c r="D138" s="235">
        <v>60.0</v>
      </c>
      <c r="E138" s="244">
        <v>2.0</v>
      </c>
      <c r="F138" s="245">
        <v>88.70967741935483</v>
      </c>
      <c r="G138" s="81">
        <f t="shared" si="1"/>
        <v>177.4193548</v>
      </c>
      <c r="H138" s="82">
        <f t="shared" si="2"/>
        <v>221.7741935</v>
      </c>
      <c r="I138" s="82">
        <f t="shared" si="3"/>
        <v>288.3064516</v>
      </c>
      <c r="J138" s="82">
        <f t="shared" si="4"/>
        <v>302.7217742</v>
      </c>
      <c r="K138" s="82">
        <f t="shared" si="5"/>
        <v>348.1300403</v>
      </c>
      <c r="L138" s="152">
        <v>550.0</v>
      </c>
      <c r="M138" s="88">
        <f>K138+K139+K140+K141+K142</f>
        <v>657.6062528</v>
      </c>
      <c r="N138" s="154">
        <v>750.0</v>
      </c>
      <c r="O138" s="8">
        <v>348.1300403225806</v>
      </c>
      <c r="Q138" s="88">
        <f>O138+O139+O140+O141+O142</f>
        <v>657.6062528</v>
      </c>
    </row>
    <row r="139">
      <c r="A139" s="25"/>
      <c r="B139" s="121" t="s">
        <v>365</v>
      </c>
      <c r="C139" s="112" t="s">
        <v>16</v>
      </c>
      <c r="D139" s="28">
        <v>30.0</v>
      </c>
      <c r="E139" s="246">
        <v>1.0</v>
      </c>
      <c r="F139" s="160">
        <v>2.72</v>
      </c>
      <c r="G139" s="81">
        <f t="shared" si="1"/>
        <v>2.72</v>
      </c>
      <c r="H139" s="82">
        <f t="shared" si="2"/>
        <v>3.4</v>
      </c>
      <c r="I139" s="43">
        <f t="shared" si="3"/>
        <v>4.42</v>
      </c>
      <c r="J139" s="43">
        <f t="shared" si="4"/>
        <v>4.641</v>
      </c>
      <c r="K139" s="43">
        <f t="shared" si="5"/>
        <v>5.33715</v>
      </c>
      <c r="L139" s="155"/>
      <c r="M139" s="155"/>
      <c r="N139" s="155"/>
      <c r="O139" s="8">
        <v>5.33715</v>
      </c>
      <c r="Q139" s="155"/>
    </row>
    <row r="140">
      <c r="A140" s="25"/>
      <c r="B140" s="112" t="s">
        <v>343</v>
      </c>
      <c r="C140" s="112" t="s">
        <v>16</v>
      </c>
      <c r="D140" s="28">
        <v>30.0</v>
      </c>
      <c r="E140" s="246">
        <v>1.0</v>
      </c>
      <c r="F140" s="160">
        <v>35.0</v>
      </c>
      <c r="G140" s="81">
        <f t="shared" si="1"/>
        <v>35</v>
      </c>
      <c r="H140" s="82">
        <f t="shared" si="2"/>
        <v>43.75</v>
      </c>
      <c r="I140" s="43">
        <f t="shared" si="3"/>
        <v>56.875</v>
      </c>
      <c r="J140" s="43">
        <f t="shared" si="4"/>
        <v>59.71875</v>
      </c>
      <c r="K140" s="43">
        <f t="shared" si="5"/>
        <v>68.6765625</v>
      </c>
      <c r="L140" s="155"/>
      <c r="M140" s="155"/>
      <c r="N140" s="155"/>
      <c r="O140" s="8">
        <v>68.6765625</v>
      </c>
      <c r="Q140" s="155"/>
    </row>
    <row r="141">
      <c r="A141" s="25"/>
      <c r="B141" s="236" t="s">
        <v>378</v>
      </c>
      <c r="C141" s="236" t="s">
        <v>13</v>
      </c>
      <c r="D141" s="247">
        <v>5.0</v>
      </c>
      <c r="E141" s="248">
        <v>1.0</v>
      </c>
      <c r="F141" s="249">
        <v>100.0</v>
      </c>
      <c r="G141" s="81">
        <f t="shared" si="1"/>
        <v>100</v>
      </c>
      <c r="H141" s="82">
        <f t="shared" si="2"/>
        <v>125</v>
      </c>
      <c r="I141" s="43">
        <f t="shared" si="3"/>
        <v>162.5</v>
      </c>
      <c r="J141" s="43">
        <f t="shared" si="4"/>
        <v>170.625</v>
      </c>
      <c r="K141" s="43">
        <f t="shared" si="5"/>
        <v>196.21875</v>
      </c>
      <c r="L141" s="155"/>
      <c r="M141" s="155"/>
      <c r="N141" s="155"/>
      <c r="O141" s="8">
        <v>196.21875</v>
      </c>
      <c r="Q141" s="155"/>
    </row>
    <row r="142">
      <c r="A142" s="33"/>
      <c r="B142" s="200" t="s">
        <v>342</v>
      </c>
      <c r="C142" s="200" t="s">
        <v>16</v>
      </c>
      <c r="D142" s="36">
        <v>30.0</v>
      </c>
      <c r="E142" s="250">
        <v>1.0</v>
      </c>
      <c r="F142" s="251">
        <v>20.0</v>
      </c>
      <c r="G142" s="54">
        <f t="shared" si="1"/>
        <v>20</v>
      </c>
      <c r="H142" s="55">
        <f t="shared" si="2"/>
        <v>25</v>
      </c>
      <c r="I142" s="14">
        <f t="shared" si="3"/>
        <v>32.5</v>
      </c>
      <c r="J142" s="14">
        <f t="shared" si="4"/>
        <v>34.125</v>
      </c>
      <c r="K142" s="14">
        <f t="shared" si="5"/>
        <v>39.24375</v>
      </c>
      <c r="L142" s="153"/>
      <c r="M142" s="153"/>
      <c r="N142" s="153"/>
      <c r="O142" s="8">
        <v>39.24375</v>
      </c>
      <c r="Q142" s="153"/>
    </row>
    <row r="143">
      <c r="A143" s="156" t="s">
        <v>322</v>
      </c>
      <c r="B143" s="120" t="s">
        <v>372</v>
      </c>
      <c r="C143" s="94" t="s">
        <v>16</v>
      </c>
      <c r="D143" s="235">
        <v>60.0</v>
      </c>
      <c r="E143" s="244">
        <v>2.0</v>
      </c>
      <c r="F143" s="245">
        <v>88.70967741935483</v>
      </c>
      <c r="G143" s="81">
        <f t="shared" si="1"/>
        <v>177.4193548</v>
      </c>
      <c r="H143" s="82">
        <f t="shared" si="2"/>
        <v>221.7741935</v>
      </c>
      <c r="I143" s="82">
        <f t="shared" si="3"/>
        <v>288.3064516</v>
      </c>
      <c r="J143" s="82">
        <f t="shared" si="4"/>
        <v>302.7217742</v>
      </c>
      <c r="K143" s="82">
        <f t="shared" si="5"/>
        <v>348.1300403</v>
      </c>
      <c r="L143" s="152">
        <v>550.0</v>
      </c>
      <c r="M143" s="88">
        <f>K143+K144+K145+K146+K147</f>
        <v>539.8750028</v>
      </c>
      <c r="N143" s="154">
        <v>750.0</v>
      </c>
      <c r="O143" s="8">
        <v>348.1300403225806</v>
      </c>
      <c r="Q143" s="88">
        <f>O143+O144+O145+O146+O147</f>
        <v>539.8750028</v>
      </c>
    </row>
    <row r="144">
      <c r="A144" s="25"/>
      <c r="B144" s="121" t="s">
        <v>365</v>
      </c>
      <c r="C144" s="112" t="s">
        <v>16</v>
      </c>
      <c r="D144" s="28">
        <v>30.0</v>
      </c>
      <c r="E144" s="63">
        <v>1.0</v>
      </c>
      <c r="F144" s="32">
        <v>2.72</v>
      </c>
      <c r="G144" s="81">
        <f t="shared" si="1"/>
        <v>2.72</v>
      </c>
      <c r="H144" s="82">
        <f t="shared" si="2"/>
        <v>3.4</v>
      </c>
      <c r="I144" s="43">
        <f t="shared" si="3"/>
        <v>4.42</v>
      </c>
      <c r="J144" s="43">
        <f t="shared" si="4"/>
        <v>4.641</v>
      </c>
      <c r="K144" s="43">
        <f t="shared" si="5"/>
        <v>5.33715</v>
      </c>
      <c r="L144" s="155"/>
      <c r="M144" s="155"/>
      <c r="N144" s="155"/>
      <c r="O144" s="8">
        <v>5.33715</v>
      </c>
      <c r="Q144" s="155"/>
    </row>
    <row r="145">
      <c r="A145" s="25"/>
      <c r="B145" s="112" t="s">
        <v>343</v>
      </c>
      <c r="C145" s="112" t="s">
        <v>16</v>
      </c>
      <c r="D145" s="28">
        <v>30.0</v>
      </c>
      <c r="E145" s="63">
        <v>1.0</v>
      </c>
      <c r="F145" s="32">
        <v>35.0</v>
      </c>
      <c r="G145" s="81">
        <f t="shared" si="1"/>
        <v>35</v>
      </c>
      <c r="H145" s="82">
        <f t="shared" si="2"/>
        <v>43.75</v>
      </c>
      <c r="I145" s="43">
        <f t="shared" si="3"/>
        <v>56.875</v>
      </c>
      <c r="J145" s="43">
        <f t="shared" si="4"/>
        <v>59.71875</v>
      </c>
      <c r="K145" s="43">
        <f t="shared" si="5"/>
        <v>68.6765625</v>
      </c>
      <c r="L145" s="155"/>
      <c r="M145" s="155"/>
      <c r="N145" s="155"/>
      <c r="O145" s="8">
        <v>68.6765625</v>
      </c>
      <c r="Q145" s="155"/>
    </row>
    <row r="146">
      <c r="A146" s="25"/>
      <c r="B146" s="236" t="s">
        <v>379</v>
      </c>
      <c r="C146" s="252"/>
      <c r="D146" s="50"/>
      <c r="E146" s="247">
        <v>1.0</v>
      </c>
      <c r="F146" s="45">
        <v>40.0</v>
      </c>
      <c r="G146" s="81">
        <f t="shared" si="1"/>
        <v>40</v>
      </c>
      <c r="H146" s="82">
        <f t="shared" si="2"/>
        <v>50</v>
      </c>
      <c r="I146" s="43">
        <f t="shared" si="3"/>
        <v>65</v>
      </c>
      <c r="J146" s="43">
        <f t="shared" si="4"/>
        <v>68.25</v>
      </c>
      <c r="K146" s="43">
        <f t="shared" si="5"/>
        <v>78.4875</v>
      </c>
      <c r="L146" s="155"/>
      <c r="M146" s="155"/>
      <c r="N146" s="155"/>
      <c r="O146" s="8">
        <v>78.4875</v>
      </c>
      <c r="Q146" s="155"/>
    </row>
    <row r="147">
      <c r="A147" s="33"/>
      <c r="B147" s="200" t="s">
        <v>342</v>
      </c>
      <c r="C147" s="200" t="s">
        <v>16</v>
      </c>
      <c r="D147" s="36">
        <v>30.0</v>
      </c>
      <c r="E147" s="48">
        <v>1.0</v>
      </c>
      <c r="F147" s="13">
        <v>20.0</v>
      </c>
      <c r="G147" s="54">
        <f t="shared" si="1"/>
        <v>20</v>
      </c>
      <c r="H147" s="55">
        <f t="shared" si="2"/>
        <v>25</v>
      </c>
      <c r="I147" s="14">
        <f t="shared" si="3"/>
        <v>32.5</v>
      </c>
      <c r="J147" s="14">
        <f t="shared" si="4"/>
        <v>34.125</v>
      </c>
      <c r="K147" s="14">
        <f t="shared" si="5"/>
        <v>39.24375</v>
      </c>
      <c r="L147" s="153"/>
      <c r="M147" s="153"/>
      <c r="N147" s="153"/>
      <c r="O147" s="8">
        <v>39.24375</v>
      </c>
      <c r="Q147" s="153"/>
    </row>
    <row r="148">
      <c r="A148" s="156" t="s">
        <v>323</v>
      </c>
      <c r="B148" s="120" t="s">
        <v>372</v>
      </c>
      <c r="C148" s="94" t="s">
        <v>16</v>
      </c>
      <c r="D148" s="235">
        <v>60.0</v>
      </c>
      <c r="E148" s="234">
        <v>2.0</v>
      </c>
      <c r="F148" s="58">
        <v>88.70967741935483</v>
      </c>
      <c r="G148" s="81">
        <f t="shared" si="1"/>
        <v>177.4193548</v>
      </c>
      <c r="H148" s="82">
        <f t="shared" si="2"/>
        <v>221.7741935</v>
      </c>
      <c r="I148" s="82">
        <f t="shared" si="3"/>
        <v>288.3064516</v>
      </c>
      <c r="J148" s="82">
        <f t="shared" si="4"/>
        <v>302.7217742</v>
      </c>
      <c r="K148" s="82">
        <f t="shared" si="5"/>
        <v>348.1300403</v>
      </c>
      <c r="L148" s="152">
        <v>550.0</v>
      </c>
      <c r="M148" s="88">
        <f>K148+K149+K150+K151+K152</f>
        <v>539.8750028</v>
      </c>
      <c r="N148" s="154">
        <v>750.0</v>
      </c>
      <c r="O148" s="8">
        <v>348.1300403225806</v>
      </c>
      <c r="Q148" s="88">
        <f>O148+O149+O150+O151+O152</f>
        <v>539.8750028</v>
      </c>
    </row>
    <row r="149">
      <c r="A149" s="25"/>
      <c r="B149" s="121" t="s">
        <v>365</v>
      </c>
      <c r="C149" s="112" t="s">
        <v>16</v>
      </c>
      <c r="D149" s="28">
        <v>30.0</v>
      </c>
      <c r="E149" s="63">
        <v>1.0</v>
      </c>
      <c r="F149" s="32">
        <v>2.72</v>
      </c>
      <c r="G149" s="81">
        <f t="shared" si="1"/>
        <v>2.72</v>
      </c>
      <c r="H149" s="82">
        <f t="shared" si="2"/>
        <v>3.4</v>
      </c>
      <c r="I149" s="43">
        <f t="shared" si="3"/>
        <v>4.42</v>
      </c>
      <c r="J149" s="43">
        <f t="shared" si="4"/>
        <v>4.641</v>
      </c>
      <c r="K149" s="43">
        <f t="shared" si="5"/>
        <v>5.33715</v>
      </c>
      <c r="L149" s="155"/>
      <c r="M149" s="155"/>
      <c r="N149" s="155"/>
      <c r="O149" s="8">
        <v>5.33715</v>
      </c>
      <c r="Q149" s="155"/>
    </row>
    <row r="150">
      <c r="A150" s="25"/>
      <c r="B150" s="112" t="s">
        <v>343</v>
      </c>
      <c r="C150" s="112" t="s">
        <v>16</v>
      </c>
      <c r="D150" s="28">
        <v>30.0</v>
      </c>
      <c r="E150" s="63">
        <v>1.0</v>
      </c>
      <c r="F150" s="32">
        <v>35.0</v>
      </c>
      <c r="G150" s="81">
        <f t="shared" si="1"/>
        <v>35</v>
      </c>
      <c r="H150" s="82">
        <f t="shared" si="2"/>
        <v>43.75</v>
      </c>
      <c r="I150" s="43">
        <f t="shared" si="3"/>
        <v>56.875</v>
      </c>
      <c r="J150" s="43">
        <f t="shared" si="4"/>
        <v>59.71875</v>
      </c>
      <c r="K150" s="43">
        <f t="shared" si="5"/>
        <v>68.6765625</v>
      </c>
      <c r="L150" s="155"/>
      <c r="M150" s="155"/>
      <c r="N150" s="155"/>
      <c r="O150" s="8">
        <v>68.6765625</v>
      </c>
      <c r="Q150" s="155"/>
    </row>
    <row r="151">
      <c r="A151" s="25"/>
      <c r="B151" s="236" t="s">
        <v>380</v>
      </c>
      <c r="C151" s="252"/>
      <c r="D151" s="50"/>
      <c r="E151" s="247">
        <v>1.0</v>
      </c>
      <c r="F151" s="45">
        <v>40.0</v>
      </c>
      <c r="G151" s="81">
        <f t="shared" si="1"/>
        <v>40</v>
      </c>
      <c r="H151" s="82">
        <f t="shared" si="2"/>
        <v>50</v>
      </c>
      <c r="I151" s="43">
        <f t="shared" si="3"/>
        <v>65</v>
      </c>
      <c r="J151" s="43">
        <f t="shared" si="4"/>
        <v>68.25</v>
      </c>
      <c r="K151" s="43">
        <f t="shared" si="5"/>
        <v>78.4875</v>
      </c>
      <c r="L151" s="155"/>
      <c r="M151" s="155"/>
      <c r="N151" s="155"/>
      <c r="O151" s="8">
        <v>78.4875</v>
      </c>
      <c r="Q151" s="155"/>
    </row>
    <row r="152">
      <c r="A152" s="33"/>
      <c r="B152" s="200" t="s">
        <v>342</v>
      </c>
      <c r="C152" s="200" t="s">
        <v>16</v>
      </c>
      <c r="D152" s="36">
        <v>30.0</v>
      </c>
      <c r="E152" s="48">
        <v>1.0</v>
      </c>
      <c r="F152" s="13">
        <v>20.0</v>
      </c>
      <c r="G152" s="54">
        <f t="shared" si="1"/>
        <v>20</v>
      </c>
      <c r="H152" s="55">
        <f t="shared" si="2"/>
        <v>25</v>
      </c>
      <c r="I152" s="14">
        <f t="shared" si="3"/>
        <v>32.5</v>
      </c>
      <c r="J152" s="14">
        <f t="shared" si="4"/>
        <v>34.125</v>
      </c>
      <c r="K152" s="14">
        <f t="shared" si="5"/>
        <v>39.24375</v>
      </c>
      <c r="L152" s="153"/>
      <c r="M152" s="153"/>
      <c r="N152" s="153"/>
      <c r="O152" s="8">
        <v>39.24375</v>
      </c>
      <c r="Q152" s="153"/>
    </row>
    <row r="153">
      <c r="A153" s="253" t="s">
        <v>324</v>
      </c>
      <c r="B153" s="120" t="s">
        <v>381</v>
      </c>
      <c r="C153" s="94" t="s">
        <v>16</v>
      </c>
      <c r="D153" s="234">
        <v>30.0</v>
      </c>
      <c r="E153" s="234">
        <v>1.0</v>
      </c>
      <c r="F153" s="58">
        <v>144.53125</v>
      </c>
      <c r="G153" s="81">
        <f t="shared" si="1"/>
        <v>144.53125</v>
      </c>
      <c r="H153" s="82">
        <f t="shared" si="2"/>
        <v>180.6640625</v>
      </c>
      <c r="I153" s="82">
        <f t="shared" si="3"/>
        <v>234.8632813</v>
      </c>
      <c r="J153" s="82">
        <f t="shared" si="4"/>
        <v>246.6064453</v>
      </c>
      <c r="K153" s="82">
        <f t="shared" si="5"/>
        <v>283.5974121</v>
      </c>
      <c r="L153" s="88"/>
      <c r="M153" s="88">
        <f>K153+K154+K155+K156</f>
        <v>732.7813746</v>
      </c>
      <c r="N153" s="154">
        <v>900.0</v>
      </c>
      <c r="O153" s="8">
        <v>283.597412109375</v>
      </c>
      <c r="Q153" s="88">
        <f>O153+O154+O155+O156</f>
        <v>732.7813746</v>
      </c>
    </row>
    <row r="154">
      <c r="A154" s="25"/>
      <c r="B154" s="121" t="s">
        <v>382</v>
      </c>
      <c r="C154" s="112" t="s">
        <v>16</v>
      </c>
      <c r="D154" s="63">
        <v>60.0</v>
      </c>
      <c r="E154" s="63">
        <v>2.0</v>
      </c>
      <c r="F154" s="32">
        <v>86.96</v>
      </c>
      <c r="G154" s="81">
        <f t="shared" si="1"/>
        <v>173.92</v>
      </c>
      <c r="H154" s="82">
        <f t="shared" si="2"/>
        <v>217.4</v>
      </c>
      <c r="I154" s="43">
        <f t="shared" si="3"/>
        <v>282.62</v>
      </c>
      <c r="J154" s="43">
        <f t="shared" si="4"/>
        <v>296.751</v>
      </c>
      <c r="K154" s="43">
        <f t="shared" si="5"/>
        <v>341.26365</v>
      </c>
      <c r="L154" s="155"/>
      <c r="M154" s="155"/>
      <c r="N154" s="155"/>
      <c r="O154" s="8">
        <v>341.2636499999999</v>
      </c>
      <c r="Q154" s="155"/>
    </row>
    <row r="155">
      <c r="A155" s="25"/>
      <c r="B155" s="112" t="s">
        <v>343</v>
      </c>
      <c r="C155" s="112" t="s">
        <v>16</v>
      </c>
      <c r="D155" s="28">
        <v>30.0</v>
      </c>
      <c r="E155" s="63">
        <v>1.0</v>
      </c>
      <c r="F155" s="32">
        <v>35.0</v>
      </c>
      <c r="G155" s="81">
        <f t="shared" si="1"/>
        <v>35</v>
      </c>
      <c r="H155" s="82">
        <f t="shared" si="2"/>
        <v>43.75</v>
      </c>
      <c r="I155" s="43">
        <f t="shared" si="3"/>
        <v>56.875</v>
      </c>
      <c r="J155" s="43">
        <f t="shared" si="4"/>
        <v>59.71875</v>
      </c>
      <c r="K155" s="43">
        <f t="shared" si="5"/>
        <v>68.6765625</v>
      </c>
      <c r="L155" s="155"/>
      <c r="M155" s="155"/>
      <c r="N155" s="155"/>
      <c r="O155" s="8">
        <v>68.6765625</v>
      </c>
      <c r="Q155" s="155"/>
    </row>
    <row r="156">
      <c r="A156" s="33"/>
      <c r="B156" s="200" t="s">
        <v>342</v>
      </c>
      <c r="C156" s="200" t="s">
        <v>16</v>
      </c>
      <c r="D156" s="36">
        <v>30.0</v>
      </c>
      <c r="E156" s="48">
        <v>1.0</v>
      </c>
      <c r="F156" s="13">
        <v>20.0</v>
      </c>
      <c r="G156" s="54">
        <f t="shared" si="1"/>
        <v>20</v>
      </c>
      <c r="H156" s="55">
        <f t="shared" si="2"/>
        <v>25</v>
      </c>
      <c r="I156" s="14">
        <f t="shared" si="3"/>
        <v>32.5</v>
      </c>
      <c r="J156" s="14">
        <f t="shared" si="4"/>
        <v>34.125</v>
      </c>
      <c r="K156" s="14">
        <f t="shared" si="5"/>
        <v>39.24375</v>
      </c>
      <c r="L156" s="153"/>
      <c r="M156" s="153"/>
      <c r="N156" s="153"/>
      <c r="O156" s="8">
        <v>39.24375</v>
      </c>
      <c r="Q156" s="153"/>
    </row>
    <row r="157">
      <c r="A157" s="254" t="s">
        <v>325</v>
      </c>
      <c r="B157" s="203" t="s">
        <v>383</v>
      </c>
      <c r="C157" s="94" t="s">
        <v>16</v>
      </c>
      <c r="D157" s="234">
        <v>10.0</v>
      </c>
      <c r="E157" s="234">
        <v>1.0</v>
      </c>
      <c r="F157" s="58">
        <f>284.375/3</f>
        <v>94.79166667</v>
      </c>
      <c r="G157" s="81">
        <f t="shared" si="1"/>
        <v>94.79166667</v>
      </c>
      <c r="H157" s="82">
        <f t="shared" si="2"/>
        <v>118.4895833</v>
      </c>
      <c r="I157" s="82">
        <f t="shared" si="3"/>
        <v>154.0364583</v>
      </c>
      <c r="J157" s="82">
        <f t="shared" si="4"/>
        <v>161.7382813</v>
      </c>
      <c r="K157" s="82">
        <f t="shared" si="5"/>
        <v>185.9990234</v>
      </c>
      <c r="L157" s="88"/>
      <c r="M157" s="88">
        <f>K157+K158+K159</f>
        <v>410.9424525</v>
      </c>
      <c r="N157" s="154">
        <v>550.0</v>
      </c>
      <c r="O157" s="8">
        <v>185.9990234375</v>
      </c>
      <c r="Q157" s="88">
        <f>O157+O158+O159</f>
        <v>410.9424525</v>
      </c>
    </row>
    <row r="158">
      <c r="A158" s="25"/>
      <c r="B158" s="26" t="s">
        <v>74</v>
      </c>
      <c r="C158" s="255" t="s">
        <v>16</v>
      </c>
      <c r="D158" s="63">
        <v>10.0</v>
      </c>
      <c r="E158" s="63">
        <v>1.0</v>
      </c>
      <c r="F158" s="29">
        <f>187.21425/3</f>
        <v>62.40475</v>
      </c>
      <c r="G158" s="81">
        <f t="shared" si="1"/>
        <v>62.40475</v>
      </c>
      <c r="H158" s="82">
        <f t="shared" si="2"/>
        <v>78.0059375</v>
      </c>
      <c r="I158" s="43">
        <f t="shared" si="3"/>
        <v>101.4077188</v>
      </c>
      <c r="J158" s="43">
        <f t="shared" si="4"/>
        <v>106.4781047</v>
      </c>
      <c r="K158" s="43">
        <f t="shared" si="5"/>
        <v>122.4498204</v>
      </c>
      <c r="L158" s="155"/>
      <c r="M158" s="155"/>
      <c r="N158" s="155"/>
      <c r="O158" s="8">
        <v>122.449820390625</v>
      </c>
      <c r="Q158" s="155"/>
    </row>
    <row r="159">
      <c r="A159" s="33"/>
      <c r="B159" s="80" t="s">
        <v>357</v>
      </c>
      <c r="C159" s="200" t="s">
        <v>16</v>
      </c>
      <c r="D159" s="48">
        <v>10.0</v>
      </c>
      <c r="E159" s="48">
        <v>1.0</v>
      </c>
      <c r="F159" s="37">
        <f>156.703080645161/3</f>
        <v>52.23436022</v>
      </c>
      <c r="G159" s="54">
        <f t="shared" si="1"/>
        <v>52.23436022</v>
      </c>
      <c r="H159" s="55">
        <f t="shared" si="2"/>
        <v>65.29295027</v>
      </c>
      <c r="I159" s="14">
        <f t="shared" si="3"/>
        <v>84.88083535</v>
      </c>
      <c r="J159" s="14">
        <f t="shared" si="4"/>
        <v>89.12487712</v>
      </c>
      <c r="K159" s="14">
        <f t="shared" si="5"/>
        <v>102.4936087</v>
      </c>
      <c r="L159" s="153"/>
      <c r="M159" s="153"/>
      <c r="N159" s="153"/>
      <c r="O159" s="8">
        <v>102.49360868447562</v>
      </c>
      <c r="Q159" s="153"/>
    </row>
    <row r="160">
      <c r="A160" s="254" t="s">
        <v>326</v>
      </c>
      <c r="B160" s="120" t="s">
        <v>383</v>
      </c>
      <c r="C160" s="94" t="s">
        <v>16</v>
      </c>
      <c r="D160" s="234">
        <v>10.0</v>
      </c>
      <c r="E160" s="234">
        <v>1.0</v>
      </c>
      <c r="F160" s="58">
        <f>284.375/3</f>
        <v>94.79166667</v>
      </c>
      <c r="G160" s="81">
        <f t="shared" si="1"/>
        <v>94.79166667</v>
      </c>
      <c r="H160" s="82">
        <f t="shared" si="2"/>
        <v>118.4895833</v>
      </c>
      <c r="I160" s="82">
        <f t="shared" si="3"/>
        <v>154.0364583</v>
      </c>
      <c r="J160" s="82">
        <f t="shared" si="4"/>
        <v>161.7382813</v>
      </c>
      <c r="K160" s="82">
        <f t="shared" si="5"/>
        <v>185.9990234</v>
      </c>
      <c r="L160" s="88"/>
      <c r="M160" s="88">
        <f>K160+K161+K162</f>
        <v>410.9396727</v>
      </c>
      <c r="N160" s="154">
        <v>550.0</v>
      </c>
      <c r="O160" s="8">
        <v>185.9990234375</v>
      </c>
      <c r="Q160" s="88">
        <f>O160+O161+O162</f>
        <v>410.9396727</v>
      </c>
    </row>
    <row r="161">
      <c r="A161" s="25"/>
      <c r="B161" s="61" t="s">
        <v>70</v>
      </c>
      <c r="C161" s="112" t="s">
        <v>16</v>
      </c>
      <c r="D161" s="63">
        <v>10.0</v>
      </c>
      <c r="E161" s="63">
        <v>1.0</v>
      </c>
      <c r="F161" s="32">
        <f>187.21/3</f>
        <v>62.40333333</v>
      </c>
      <c r="G161" s="81">
        <f t="shared" si="1"/>
        <v>62.40333333</v>
      </c>
      <c r="H161" s="82">
        <f t="shared" si="2"/>
        <v>78.00416667</v>
      </c>
      <c r="I161" s="43">
        <f t="shared" si="3"/>
        <v>101.4054167</v>
      </c>
      <c r="J161" s="43">
        <f t="shared" si="4"/>
        <v>106.4756875</v>
      </c>
      <c r="K161" s="43">
        <f t="shared" si="5"/>
        <v>122.4470406</v>
      </c>
      <c r="L161" s="155"/>
      <c r="M161" s="155"/>
      <c r="N161" s="155"/>
      <c r="O161" s="8">
        <v>122.447040625</v>
      </c>
      <c r="Q161" s="155"/>
    </row>
    <row r="162">
      <c r="A162" s="33"/>
      <c r="B162" s="200" t="s">
        <v>357</v>
      </c>
      <c r="C162" s="200" t="s">
        <v>16</v>
      </c>
      <c r="D162" s="48">
        <v>10.0</v>
      </c>
      <c r="E162" s="48">
        <v>1.0</v>
      </c>
      <c r="F162" s="37">
        <f>156.703080645161/3</f>
        <v>52.23436022</v>
      </c>
      <c r="G162" s="54">
        <f t="shared" si="1"/>
        <v>52.23436022</v>
      </c>
      <c r="H162" s="55">
        <f t="shared" si="2"/>
        <v>65.29295027</v>
      </c>
      <c r="I162" s="14">
        <f t="shared" si="3"/>
        <v>84.88083535</v>
      </c>
      <c r="J162" s="14">
        <f t="shared" si="4"/>
        <v>89.12487712</v>
      </c>
      <c r="K162" s="14">
        <f t="shared" si="5"/>
        <v>102.4936087</v>
      </c>
      <c r="L162" s="153"/>
      <c r="M162" s="153"/>
      <c r="N162" s="153"/>
      <c r="O162" s="8">
        <v>102.49360868447562</v>
      </c>
      <c r="Q162" s="153"/>
    </row>
    <row r="163">
      <c r="A163" s="156" t="s">
        <v>327</v>
      </c>
      <c r="B163" s="120" t="s">
        <v>372</v>
      </c>
      <c r="C163" s="94" t="s">
        <v>16</v>
      </c>
      <c r="D163" s="234">
        <v>60.0</v>
      </c>
      <c r="E163" s="234">
        <v>2.0</v>
      </c>
      <c r="F163" s="58">
        <v>88.70967741935483</v>
      </c>
      <c r="G163" s="81">
        <f t="shared" si="1"/>
        <v>177.4193548</v>
      </c>
      <c r="H163" s="82">
        <f t="shared" si="2"/>
        <v>221.7741935</v>
      </c>
      <c r="I163" s="82">
        <f t="shared" si="3"/>
        <v>288.3064516</v>
      </c>
      <c r="J163" s="82">
        <f t="shared" si="4"/>
        <v>302.7217742</v>
      </c>
      <c r="K163" s="82">
        <f t="shared" si="5"/>
        <v>348.1300403</v>
      </c>
      <c r="L163" s="88"/>
      <c r="M163" s="88">
        <f>K163+K164+K165</f>
        <v>399.1469153</v>
      </c>
      <c r="N163" s="154">
        <v>500.0</v>
      </c>
      <c r="O163" s="8">
        <v>348.1300403225806</v>
      </c>
      <c r="Q163" s="88">
        <f>O163+O164+O165</f>
        <v>399.1469153</v>
      </c>
    </row>
    <row r="164">
      <c r="A164" s="25"/>
      <c r="B164" s="121" t="s">
        <v>342</v>
      </c>
      <c r="C164" s="112" t="s">
        <v>16</v>
      </c>
      <c r="D164" s="63">
        <v>10.0</v>
      </c>
      <c r="E164" s="63">
        <v>1.0</v>
      </c>
      <c r="F164" s="32">
        <v>20.0</v>
      </c>
      <c r="G164" s="81">
        <f t="shared" si="1"/>
        <v>20</v>
      </c>
      <c r="H164" s="82">
        <f t="shared" si="2"/>
        <v>25</v>
      </c>
      <c r="I164" s="43">
        <f t="shared" si="3"/>
        <v>32.5</v>
      </c>
      <c r="J164" s="43">
        <f t="shared" si="4"/>
        <v>34.125</v>
      </c>
      <c r="K164" s="43">
        <f t="shared" si="5"/>
        <v>39.24375</v>
      </c>
      <c r="L164" s="155"/>
      <c r="M164" s="155"/>
      <c r="N164" s="155"/>
      <c r="O164" s="8">
        <v>39.24375</v>
      </c>
      <c r="Q164" s="155"/>
    </row>
    <row r="165">
      <c r="A165" s="33"/>
      <c r="B165" s="122" t="s">
        <v>384</v>
      </c>
      <c r="C165" s="200" t="s">
        <v>16</v>
      </c>
      <c r="D165" s="48">
        <v>66.0</v>
      </c>
      <c r="E165" s="48">
        <v>1.0</v>
      </c>
      <c r="F165" s="37">
        <f>30/5</f>
        <v>6</v>
      </c>
      <c r="G165" s="54">
        <f t="shared" si="1"/>
        <v>6</v>
      </c>
      <c r="H165" s="55">
        <f t="shared" si="2"/>
        <v>7.5</v>
      </c>
      <c r="I165" s="14">
        <f t="shared" si="3"/>
        <v>9.75</v>
      </c>
      <c r="J165" s="14">
        <f t="shared" si="4"/>
        <v>10.2375</v>
      </c>
      <c r="K165" s="14">
        <f t="shared" si="5"/>
        <v>11.773125</v>
      </c>
      <c r="L165" s="153"/>
      <c r="M165" s="153"/>
      <c r="N165" s="153"/>
      <c r="O165" s="8">
        <v>11.773125</v>
      </c>
      <c r="Q165" s="153"/>
    </row>
    <row r="166">
      <c r="A166" s="256" t="s">
        <v>385</v>
      </c>
      <c r="B166" s="120" t="s">
        <v>386</v>
      </c>
      <c r="C166" s="94" t="s">
        <v>16</v>
      </c>
      <c r="D166" s="235">
        <v>60.0</v>
      </c>
      <c r="E166" s="234">
        <v>2.0</v>
      </c>
      <c r="F166" s="58">
        <v>335.96</v>
      </c>
      <c r="G166" s="81">
        <f t="shared" si="1"/>
        <v>671.92</v>
      </c>
      <c r="H166" s="195">
        <f t="shared" si="2"/>
        <v>839.9</v>
      </c>
      <c r="I166" s="195">
        <f t="shared" si="3"/>
        <v>1091.87</v>
      </c>
      <c r="J166" s="195">
        <f t="shared" si="4"/>
        <v>1146.4635</v>
      </c>
      <c r="K166" s="195">
        <f t="shared" si="5"/>
        <v>1318.433025</v>
      </c>
      <c r="L166" s="152">
        <v>1450.0</v>
      </c>
      <c r="M166" s="88">
        <f>K166+K167+K168</f>
        <v>1426.353338</v>
      </c>
      <c r="N166" s="154">
        <v>1200.0</v>
      </c>
    </row>
    <row r="167">
      <c r="A167" s="25"/>
      <c r="B167" s="112" t="s">
        <v>343</v>
      </c>
      <c r="C167" s="112" t="s">
        <v>16</v>
      </c>
      <c r="D167" s="232">
        <v>30.0</v>
      </c>
      <c r="E167" s="233">
        <v>1.0</v>
      </c>
      <c r="F167" s="32">
        <v>35.0</v>
      </c>
      <c r="G167" s="81">
        <f t="shared" si="1"/>
        <v>35</v>
      </c>
      <c r="H167" s="257">
        <f t="shared" si="2"/>
        <v>43.75</v>
      </c>
      <c r="I167" s="258">
        <f t="shared" si="3"/>
        <v>56.875</v>
      </c>
      <c r="J167" s="258">
        <f t="shared" si="4"/>
        <v>59.71875</v>
      </c>
      <c r="K167" s="258">
        <f t="shared" si="5"/>
        <v>68.6765625</v>
      </c>
      <c r="L167" s="155"/>
      <c r="M167" s="155"/>
      <c r="N167" s="155"/>
    </row>
    <row r="168">
      <c r="A168" s="33"/>
      <c r="B168" s="200" t="s">
        <v>342</v>
      </c>
      <c r="C168" s="200" t="s">
        <v>16</v>
      </c>
      <c r="D168" s="201">
        <v>30.0</v>
      </c>
      <c r="E168" s="202">
        <v>1.0</v>
      </c>
      <c r="F168" s="13">
        <v>20.0</v>
      </c>
      <c r="G168" s="54">
        <f t="shared" si="1"/>
        <v>20</v>
      </c>
      <c r="H168" s="259">
        <f t="shared" si="2"/>
        <v>25</v>
      </c>
      <c r="I168" s="260">
        <f t="shared" si="3"/>
        <v>32.5</v>
      </c>
      <c r="J168" s="260">
        <f t="shared" si="4"/>
        <v>34.125</v>
      </c>
      <c r="K168" s="260">
        <f t="shared" si="5"/>
        <v>39.24375</v>
      </c>
      <c r="L168" s="153"/>
      <c r="M168" s="153"/>
      <c r="N168" s="153"/>
      <c r="O168" s="53">
        <v>1450.0</v>
      </c>
      <c r="P168" s="165">
        <f>O168/1.15</f>
        <v>1260.869565</v>
      </c>
      <c r="Q168" s="261">
        <f>P168/1.05</f>
        <v>1200.828157</v>
      </c>
    </row>
    <row r="169">
      <c r="A169" s="256" t="s">
        <v>387</v>
      </c>
      <c r="B169" s="120" t="s">
        <v>386</v>
      </c>
      <c r="C169" s="94" t="s">
        <v>16</v>
      </c>
      <c r="D169" s="235">
        <v>60.0</v>
      </c>
      <c r="E169" s="234">
        <v>2.0</v>
      </c>
      <c r="F169" s="58">
        <v>335.96</v>
      </c>
      <c r="G169" s="81">
        <f t="shared" si="1"/>
        <v>671.92</v>
      </c>
      <c r="H169" s="195">
        <f t="shared" si="2"/>
        <v>839.9</v>
      </c>
      <c r="I169" s="195">
        <f t="shared" si="3"/>
        <v>1091.87</v>
      </c>
      <c r="J169" s="195">
        <f t="shared" si="4"/>
        <v>1146.4635</v>
      </c>
      <c r="K169" s="195">
        <f t="shared" si="5"/>
        <v>1318.433025</v>
      </c>
      <c r="L169" s="152">
        <v>1400.0</v>
      </c>
      <c r="M169" s="88">
        <f>K169+K170+K171+K172</f>
        <v>1833.79544</v>
      </c>
      <c r="N169" s="154">
        <v>1500.0</v>
      </c>
      <c r="Q169" s="262"/>
    </row>
    <row r="170">
      <c r="A170" s="25"/>
      <c r="B170" s="112" t="s">
        <v>45</v>
      </c>
      <c r="C170" s="112" t="s">
        <v>16</v>
      </c>
      <c r="D170" s="28">
        <v>30.0</v>
      </c>
      <c r="E170" s="63">
        <v>1.0</v>
      </c>
      <c r="F170" s="32">
        <v>207.646875</v>
      </c>
      <c r="G170" s="81">
        <f t="shared" si="1"/>
        <v>207.646875</v>
      </c>
      <c r="H170" s="195">
        <f t="shared" si="2"/>
        <v>259.5585938</v>
      </c>
      <c r="I170" s="197">
        <f t="shared" si="3"/>
        <v>337.4261719</v>
      </c>
      <c r="J170" s="197">
        <f t="shared" si="4"/>
        <v>354.2974805</v>
      </c>
      <c r="K170" s="197">
        <f t="shared" si="5"/>
        <v>407.4421025</v>
      </c>
      <c r="L170" s="155"/>
      <c r="M170" s="155"/>
      <c r="N170" s="155"/>
      <c r="Q170" s="262"/>
    </row>
    <row r="171">
      <c r="A171" s="25"/>
      <c r="B171" s="112" t="s">
        <v>343</v>
      </c>
      <c r="C171" s="112" t="s">
        <v>16</v>
      </c>
      <c r="D171" s="28">
        <v>30.0</v>
      </c>
      <c r="E171" s="63">
        <v>1.0</v>
      </c>
      <c r="F171" s="32">
        <v>35.0</v>
      </c>
      <c r="G171" s="81">
        <f t="shared" si="1"/>
        <v>35</v>
      </c>
      <c r="H171" s="195">
        <f t="shared" si="2"/>
        <v>43.75</v>
      </c>
      <c r="I171" s="197">
        <f t="shared" si="3"/>
        <v>56.875</v>
      </c>
      <c r="J171" s="197">
        <f t="shared" si="4"/>
        <v>59.71875</v>
      </c>
      <c r="K171" s="197">
        <f t="shared" si="5"/>
        <v>68.6765625</v>
      </c>
      <c r="L171" s="155"/>
      <c r="M171" s="155"/>
      <c r="N171" s="155"/>
      <c r="Q171" s="263"/>
    </row>
    <row r="172">
      <c r="A172" s="33"/>
      <c r="B172" s="200" t="s">
        <v>342</v>
      </c>
      <c r="C172" s="200" t="s">
        <v>16</v>
      </c>
      <c r="D172" s="36">
        <v>30.0</v>
      </c>
      <c r="E172" s="48">
        <v>1.0</v>
      </c>
      <c r="F172" s="13">
        <v>20.0</v>
      </c>
      <c r="G172" s="54">
        <f t="shared" si="1"/>
        <v>20</v>
      </c>
      <c r="H172" s="198">
        <f t="shared" si="2"/>
        <v>25</v>
      </c>
      <c r="I172" s="199">
        <f t="shared" si="3"/>
        <v>32.5</v>
      </c>
      <c r="J172" s="199">
        <f t="shared" si="4"/>
        <v>34.125</v>
      </c>
      <c r="K172" s="199">
        <f t="shared" si="5"/>
        <v>39.24375</v>
      </c>
      <c r="L172" s="153"/>
      <c r="M172" s="153"/>
      <c r="N172" s="153"/>
      <c r="O172" s="53">
        <v>1850.0</v>
      </c>
      <c r="P172" s="165">
        <f>O172/1.15</f>
        <v>1608.695652</v>
      </c>
      <c r="Q172" s="264">
        <f>P172/1.05</f>
        <v>1532.091097</v>
      </c>
      <c r="R172" s="8"/>
    </row>
    <row r="173">
      <c r="A173" s="256" t="s">
        <v>388</v>
      </c>
      <c r="B173" s="120" t="s">
        <v>386</v>
      </c>
      <c r="C173" s="94" t="s">
        <v>16</v>
      </c>
      <c r="D173" s="235">
        <v>60.0</v>
      </c>
      <c r="E173" s="234">
        <v>2.0</v>
      </c>
      <c r="F173" s="58">
        <v>335.96</v>
      </c>
      <c r="G173" s="81">
        <f t="shared" si="1"/>
        <v>671.92</v>
      </c>
      <c r="H173" s="82">
        <f t="shared" si="2"/>
        <v>839.9</v>
      </c>
      <c r="I173" s="82">
        <f t="shared" si="3"/>
        <v>1091.87</v>
      </c>
      <c r="J173" s="82">
        <f t="shared" si="4"/>
        <v>1146.4635</v>
      </c>
      <c r="K173" s="82">
        <f t="shared" si="5"/>
        <v>1318.433025</v>
      </c>
      <c r="L173" s="152">
        <v>1400.0</v>
      </c>
      <c r="M173" s="88">
        <f>K173+K174+K175+K176</f>
        <v>1850.964581</v>
      </c>
      <c r="N173" s="154">
        <v>1500.0</v>
      </c>
      <c r="Q173" s="264"/>
      <c r="R173" s="8"/>
    </row>
    <row r="174">
      <c r="A174" s="25"/>
      <c r="B174" s="112" t="s">
        <v>45</v>
      </c>
      <c r="C174" s="112" t="s">
        <v>16</v>
      </c>
      <c r="D174" s="232">
        <v>30.0</v>
      </c>
      <c r="E174" s="233">
        <v>1.0</v>
      </c>
      <c r="F174" s="32">
        <v>207.646875</v>
      </c>
      <c r="G174" s="81">
        <f t="shared" si="1"/>
        <v>207.646875</v>
      </c>
      <c r="H174" s="82">
        <f t="shared" si="2"/>
        <v>259.5585938</v>
      </c>
      <c r="I174" s="43">
        <f t="shared" si="3"/>
        <v>337.4261719</v>
      </c>
      <c r="J174" s="43">
        <f t="shared" si="4"/>
        <v>354.2974805</v>
      </c>
      <c r="K174" s="43">
        <f t="shared" si="5"/>
        <v>407.4421025</v>
      </c>
      <c r="L174" s="155"/>
      <c r="M174" s="155"/>
      <c r="N174" s="155"/>
      <c r="Q174" s="264"/>
      <c r="R174" s="8"/>
    </row>
    <row r="175">
      <c r="A175" s="25"/>
      <c r="B175" s="112" t="s">
        <v>343</v>
      </c>
      <c r="C175" s="112" t="s">
        <v>16</v>
      </c>
      <c r="D175" s="232">
        <v>45.0</v>
      </c>
      <c r="E175" s="233">
        <v>1.25</v>
      </c>
      <c r="F175" s="32">
        <v>35.0</v>
      </c>
      <c r="G175" s="81">
        <f t="shared" si="1"/>
        <v>43.75</v>
      </c>
      <c r="H175" s="82">
        <f t="shared" si="2"/>
        <v>54.6875</v>
      </c>
      <c r="I175" s="43">
        <f t="shared" si="3"/>
        <v>71.09375</v>
      </c>
      <c r="J175" s="43">
        <f t="shared" si="4"/>
        <v>74.6484375</v>
      </c>
      <c r="K175" s="43">
        <f t="shared" si="5"/>
        <v>85.84570313</v>
      </c>
      <c r="L175" s="155"/>
      <c r="M175" s="155"/>
      <c r="N175" s="155"/>
      <c r="Q175" s="264"/>
      <c r="R175" s="8"/>
    </row>
    <row r="176">
      <c r="A176" s="33"/>
      <c r="B176" s="200" t="s">
        <v>342</v>
      </c>
      <c r="C176" s="200" t="s">
        <v>16</v>
      </c>
      <c r="D176" s="201">
        <v>30.0</v>
      </c>
      <c r="E176" s="202">
        <v>1.0</v>
      </c>
      <c r="F176" s="13">
        <v>20.0</v>
      </c>
      <c r="G176" s="54">
        <f t="shared" si="1"/>
        <v>20</v>
      </c>
      <c r="H176" s="55">
        <f t="shared" si="2"/>
        <v>25</v>
      </c>
      <c r="I176" s="14">
        <f t="shared" si="3"/>
        <v>32.5</v>
      </c>
      <c r="J176" s="14">
        <f t="shared" si="4"/>
        <v>34.125</v>
      </c>
      <c r="K176" s="14">
        <f t="shared" si="5"/>
        <v>39.24375</v>
      </c>
      <c r="L176" s="153"/>
      <c r="M176" s="153"/>
      <c r="N176" s="153"/>
      <c r="O176" s="53">
        <v>1850.0</v>
      </c>
      <c r="P176" s="165">
        <f>O176/1.15</f>
        <v>1608.695652</v>
      </c>
      <c r="Q176" s="265" t="s">
        <v>389</v>
      </c>
      <c r="R176" s="8"/>
    </row>
    <row r="177">
      <c r="A177" s="256" t="s">
        <v>390</v>
      </c>
      <c r="B177" s="120" t="s">
        <v>386</v>
      </c>
      <c r="C177" s="94" t="s">
        <v>16</v>
      </c>
      <c r="D177" s="235">
        <v>45.0</v>
      </c>
      <c r="E177" s="234">
        <v>1.25</v>
      </c>
      <c r="F177" s="58">
        <v>335.96</v>
      </c>
      <c r="G177" s="81">
        <f t="shared" si="1"/>
        <v>419.95</v>
      </c>
      <c r="H177" s="82">
        <f t="shared" si="2"/>
        <v>524.9375</v>
      </c>
      <c r="I177" s="82">
        <f t="shared" si="3"/>
        <v>682.41875</v>
      </c>
      <c r="J177" s="82">
        <f t="shared" si="4"/>
        <v>716.5396875</v>
      </c>
      <c r="K177" s="82">
        <f t="shared" si="5"/>
        <v>824.0206406</v>
      </c>
      <c r="L177" s="152">
        <v>1500.0</v>
      </c>
      <c r="M177" s="88">
        <f>K177+K178+K179+K180+K181</f>
        <v>1972.004569</v>
      </c>
      <c r="N177" s="154">
        <v>1700.0</v>
      </c>
      <c r="O177" s="8"/>
      <c r="Q177" s="264"/>
      <c r="R177" s="8"/>
    </row>
    <row r="178">
      <c r="A178" s="25"/>
      <c r="B178" s="121" t="s">
        <v>84</v>
      </c>
      <c r="C178" s="112" t="s">
        <v>16</v>
      </c>
      <c r="D178" s="232">
        <v>30.0</v>
      </c>
      <c r="E178" s="233">
        <v>1.0</v>
      </c>
      <c r="F178" s="29">
        <v>245.021875</v>
      </c>
      <c r="G178" s="81">
        <f t="shared" si="1"/>
        <v>245.021875</v>
      </c>
      <c r="H178" s="82">
        <f t="shared" si="2"/>
        <v>306.2773438</v>
      </c>
      <c r="I178" s="43">
        <f t="shared" si="3"/>
        <v>398.1605469</v>
      </c>
      <c r="J178" s="43">
        <f t="shared" si="4"/>
        <v>418.0685742</v>
      </c>
      <c r="K178" s="43">
        <f t="shared" si="5"/>
        <v>480.7788604</v>
      </c>
      <c r="L178" s="155"/>
      <c r="M178" s="155"/>
      <c r="N178" s="155"/>
      <c r="O178" s="8"/>
      <c r="Q178" s="264"/>
      <c r="R178" s="8"/>
    </row>
    <row r="179">
      <c r="A179" s="25"/>
      <c r="B179" s="112" t="s">
        <v>366</v>
      </c>
      <c r="C179" s="112" t="s">
        <v>16</v>
      </c>
      <c r="D179" s="232">
        <v>30.0</v>
      </c>
      <c r="E179" s="233">
        <v>1.0</v>
      </c>
      <c r="F179" s="29">
        <v>260.03125</v>
      </c>
      <c r="G179" s="81">
        <f t="shared" si="1"/>
        <v>260.03125</v>
      </c>
      <c r="H179" s="82">
        <f t="shared" si="2"/>
        <v>325.0390625</v>
      </c>
      <c r="I179" s="43">
        <f t="shared" si="3"/>
        <v>422.5507813</v>
      </c>
      <c r="J179" s="43">
        <f t="shared" si="4"/>
        <v>443.6783203</v>
      </c>
      <c r="K179" s="43">
        <f t="shared" si="5"/>
        <v>510.2300684</v>
      </c>
      <c r="L179" s="155"/>
      <c r="M179" s="155"/>
      <c r="N179" s="155"/>
      <c r="O179" s="8"/>
      <c r="Q179" s="264"/>
      <c r="R179" s="8"/>
    </row>
    <row r="180">
      <c r="A180" s="25"/>
      <c r="B180" s="112" t="s">
        <v>375</v>
      </c>
      <c r="C180" s="112" t="s">
        <v>16</v>
      </c>
      <c r="D180" s="232">
        <v>15.0</v>
      </c>
      <c r="E180" s="233">
        <v>1.0</v>
      </c>
      <c r="F180" s="32">
        <v>60.0</v>
      </c>
      <c r="G180" s="81">
        <f t="shared" si="1"/>
        <v>60</v>
      </c>
      <c r="H180" s="82">
        <f t="shared" si="2"/>
        <v>75</v>
      </c>
      <c r="I180" s="43">
        <f t="shared" si="3"/>
        <v>97.5</v>
      </c>
      <c r="J180" s="43">
        <f t="shared" si="4"/>
        <v>102.375</v>
      </c>
      <c r="K180" s="43">
        <f t="shared" si="5"/>
        <v>117.73125</v>
      </c>
      <c r="L180" s="155"/>
      <c r="M180" s="155"/>
      <c r="N180" s="155"/>
      <c r="O180" s="8"/>
      <c r="Q180" s="264"/>
      <c r="R180" s="8"/>
    </row>
    <row r="181">
      <c r="A181" s="33"/>
      <c r="B181" s="200" t="s">
        <v>376</v>
      </c>
      <c r="C181" s="200" t="s">
        <v>16</v>
      </c>
      <c r="D181" s="202">
        <v>15.0</v>
      </c>
      <c r="E181" s="202">
        <v>1.0</v>
      </c>
      <c r="F181" s="13">
        <v>20.0</v>
      </c>
      <c r="G181" s="54">
        <f t="shared" si="1"/>
        <v>20</v>
      </c>
      <c r="H181" s="55">
        <f t="shared" si="2"/>
        <v>25</v>
      </c>
      <c r="I181" s="14">
        <f t="shared" si="3"/>
        <v>32.5</v>
      </c>
      <c r="J181" s="14">
        <f t="shared" si="4"/>
        <v>34.125</v>
      </c>
      <c r="K181" s="14">
        <f t="shared" si="5"/>
        <v>39.24375</v>
      </c>
      <c r="L181" s="153"/>
      <c r="M181" s="153"/>
      <c r="N181" s="153"/>
      <c r="O181" s="266">
        <v>2000.0</v>
      </c>
      <c r="P181" s="165">
        <f>O181/1.15</f>
        <v>1739.130435</v>
      </c>
      <c r="Q181" s="264">
        <f>P181/1.05</f>
        <v>1656.3147</v>
      </c>
      <c r="R181" s="8"/>
    </row>
    <row r="182">
      <c r="B182" s="111"/>
      <c r="F182" s="8"/>
      <c r="G182" s="8"/>
      <c r="L182" s="8"/>
    </row>
    <row r="183">
      <c r="B183" s="267"/>
      <c r="F183" s="8"/>
      <c r="G183" s="8"/>
      <c r="L183" s="8"/>
    </row>
    <row r="184">
      <c r="F184" s="8"/>
      <c r="G184" s="8"/>
      <c r="L184" s="8"/>
    </row>
    <row r="185">
      <c r="F185" s="8"/>
      <c r="G185" s="8"/>
      <c r="L185" s="8"/>
    </row>
    <row r="186">
      <c r="F186" s="8"/>
      <c r="G186" s="8"/>
      <c r="L186" s="8"/>
    </row>
    <row r="187">
      <c r="F187" s="8"/>
      <c r="G187" s="8"/>
      <c r="L187" s="8"/>
    </row>
    <row r="188">
      <c r="F188" s="8"/>
      <c r="G188" s="8"/>
      <c r="L188" s="8"/>
    </row>
    <row r="189">
      <c r="F189" s="8"/>
      <c r="G189" s="8"/>
      <c r="L189" s="8"/>
    </row>
    <row r="190">
      <c r="F190" s="8"/>
      <c r="G190" s="8"/>
      <c r="L190" s="8"/>
    </row>
    <row r="191">
      <c r="F191" s="8"/>
      <c r="G191" s="8"/>
      <c r="L191" s="8"/>
    </row>
    <row r="192">
      <c r="F192" s="8"/>
      <c r="G192" s="8"/>
      <c r="L192" s="8"/>
    </row>
    <row r="193">
      <c r="F193" s="8"/>
      <c r="G193" s="8"/>
      <c r="L193" s="8"/>
    </row>
    <row r="194">
      <c r="F194" s="8"/>
      <c r="G194" s="8"/>
      <c r="L194" s="8"/>
    </row>
    <row r="195">
      <c r="F195" s="8"/>
      <c r="G195" s="8"/>
      <c r="L195" s="8"/>
    </row>
    <row r="196">
      <c r="F196" s="8"/>
      <c r="G196" s="8"/>
      <c r="L196" s="8"/>
    </row>
    <row r="197">
      <c r="F197" s="8"/>
      <c r="G197" s="8"/>
      <c r="L197" s="8"/>
    </row>
    <row r="198">
      <c r="F198" s="8"/>
      <c r="G198" s="8"/>
      <c r="L198" s="8"/>
    </row>
    <row r="199">
      <c r="F199" s="8"/>
      <c r="G199" s="8"/>
      <c r="L199" s="8"/>
    </row>
    <row r="200">
      <c r="F200" s="8"/>
      <c r="G200" s="8"/>
      <c r="L200" s="8"/>
    </row>
    <row r="201">
      <c r="F201" s="8"/>
      <c r="G201" s="8"/>
      <c r="L201" s="8"/>
    </row>
    <row r="202">
      <c r="F202" s="8"/>
      <c r="G202" s="8"/>
      <c r="L202" s="8"/>
    </row>
    <row r="203">
      <c r="F203" s="8"/>
      <c r="G203" s="8"/>
      <c r="L203" s="8"/>
    </row>
    <row r="204">
      <c r="F204" s="8"/>
      <c r="G204" s="8"/>
      <c r="L204" s="8"/>
    </row>
    <row r="205">
      <c r="F205" s="8"/>
      <c r="G205" s="8"/>
      <c r="L205" s="8"/>
    </row>
    <row r="206">
      <c r="F206" s="8"/>
      <c r="G206" s="8"/>
      <c r="L206" s="8"/>
    </row>
    <row r="207">
      <c r="F207" s="8"/>
      <c r="G207" s="8"/>
      <c r="L207" s="8"/>
    </row>
    <row r="208">
      <c r="F208" s="8"/>
      <c r="G208" s="8"/>
      <c r="L208" s="8"/>
    </row>
    <row r="209">
      <c r="F209" s="8"/>
      <c r="G209" s="8"/>
      <c r="L209" s="8"/>
    </row>
    <row r="210">
      <c r="F210" s="8"/>
      <c r="G210" s="8"/>
      <c r="L210" s="8"/>
    </row>
    <row r="211">
      <c r="F211" s="8"/>
      <c r="G211" s="8"/>
      <c r="L211" s="8"/>
    </row>
    <row r="212">
      <c r="F212" s="8"/>
      <c r="G212" s="8"/>
      <c r="L212" s="8"/>
    </row>
    <row r="213">
      <c r="F213" s="8"/>
      <c r="G213" s="8"/>
      <c r="L213" s="8"/>
    </row>
    <row r="214">
      <c r="F214" s="8"/>
      <c r="G214" s="8"/>
      <c r="L214" s="8"/>
    </row>
    <row r="215">
      <c r="F215" s="8"/>
      <c r="G215" s="8"/>
      <c r="L215" s="8"/>
    </row>
    <row r="216">
      <c r="F216" s="8"/>
      <c r="G216" s="8"/>
      <c r="L216" s="8"/>
    </row>
    <row r="217">
      <c r="F217" s="8"/>
      <c r="G217" s="8"/>
      <c r="L217" s="8"/>
    </row>
    <row r="218">
      <c r="F218" s="8"/>
      <c r="G218" s="8"/>
      <c r="L218" s="8"/>
    </row>
    <row r="219">
      <c r="F219" s="8"/>
      <c r="G219" s="8"/>
      <c r="L219" s="8"/>
    </row>
    <row r="220">
      <c r="F220" s="8"/>
      <c r="G220" s="8"/>
      <c r="L220" s="8"/>
    </row>
    <row r="221">
      <c r="F221" s="8"/>
      <c r="G221" s="8"/>
      <c r="L221" s="8"/>
    </row>
    <row r="222">
      <c r="F222" s="8"/>
      <c r="G222" s="8"/>
      <c r="L222" s="8"/>
    </row>
    <row r="223">
      <c r="F223" s="8"/>
      <c r="G223" s="8"/>
      <c r="L223" s="8"/>
    </row>
    <row r="224">
      <c r="F224" s="8"/>
      <c r="G224" s="8"/>
      <c r="L224" s="8"/>
    </row>
    <row r="225">
      <c r="F225" s="8"/>
      <c r="G225" s="8"/>
      <c r="L225" s="8"/>
    </row>
    <row r="226">
      <c r="F226" s="8"/>
      <c r="G226" s="8"/>
      <c r="L226" s="8"/>
    </row>
    <row r="227">
      <c r="F227" s="8"/>
      <c r="G227" s="8"/>
      <c r="L227" s="8"/>
    </row>
    <row r="228">
      <c r="F228" s="8"/>
      <c r="G228" s="8"/>
      <c r="L228" s="8"/>
    </row>
    <row r="229">
      <c r="F229" s="8"/>
      <c r="G229" s="8"/>
      <c r="L229" s="8"/>
    </row>
    <row r="230">
      <c r="F230" s="8"/>
      <c r="G230" s="8"/>
      <c r="L230" s="8"/>
    </row>
    <row r="231">
      <c r="F231" s="8"/>
      <c r="G231" s="8"/>
      <c r="L231" s="8"/>
    </row>
    <row r="232">
      <c r="F232" s="8"/>
      <c r="G232" s="8"/>
      <c r="L232" s="8"/>
    </row>
    <row r="233">
      <c r="F233" s="8"/>
      <c r="G233" s="8"/>
      <c r="L233" s="8"/>
    </row>
    <row r="234">
      <c r="F234" s="8"/>
      <c r="G234" s="8"/>
      <c r="L234" s="8"/>
    </row>
    <row r="235">
      <c r="F235" s="8"/>
      <c r="G235" s="8"/>
      <c r="L235" s="8"/>
    </row>
    <row r="236">
      <c r="F236" s="8"/>
      <c r="G236" s="8"/>
      <c r="L236" s="8"/>
    </row>
    <row r="237">
      <c r="F237" s="8"/>
      <c r="G237" s="8"/>
      <c r="L237" s="8"/>
    </row>
    <row r="238">
      <c r="F238" s="8"/>
      <c r="G238" s="8"/>
      <c r="L238" s="8"/>
    </row>
    <row r="239">
      <c r="F239" s="8"/>
      <c r="G239" s="8"/>
      <c r="L239" s="8"/>
    </row>
    <row r="240">
      <c r="F240" s="8"/>
      <c r="G240" s="8"/>
      <c r="L240" s="8"/>
    </row>
    <row r="241">
      <c r="F241" s="8"/>
      <c r="G241" s="8"/>
      <c r="L241" s="8"/>
    </row>
    <row r="242">
      <c r="F242" s="8"/>
      <c r="G242" s="8"/>
      <c r="L242" s="8"/>
    </row>
    <row r="243">
      <c r="F243" s="8"/>
      <c r="G243" s="8"/>
      <c r="L243" s="8"/>
    </row>
    <row r="244">
      <c r="F244" s="8"/>
      <c r="G244" s="8"/>
      <c r="L244" s="8"/>
    </row>
    <row r="245">
      <c r="F245" s="8"/>
      <c r="G245" s="8"/>
      <c r="L245" s="8"/>
    </row>
    <row r="246">
      <c r="F246" s="8"/>
      <c r="G246" s="8"/>
      <c r="L246" s="8"/>
    </row>
    <row r="247">
      <c r="F247" s="8"/>
      <c r="G247" s="8"/>
      <c r="L247" s="8"/>
    </row>
    <row r="248">
      <c r="F248" s="8"/>
      <c r="G248" s="8"/>
      <c r="L248" s="8"/>
    </row>
    <row r="249">
      <c r="F249" s="8"/>
      <c r="G249" s="8"/>
      <c r="L249" s="8"/>
    </row>
    <row r="250">
      <c r="F250" s="8"/>
      <c r="G250" s="8"/>
      <c r="L250" s="8"/>
    </row>
    <row r="251">
      <c r="F251" s="8"/>
      <c r="G251" s="8"/>
      <c r="L251" s="8"/>
    </row>
    <row r="252">
      <c r="F252" s="8"/>
      <c r="G252" s="8"/>
      <c r="L252" s="8"/>
    </row>
    <row r="253">
      <c r="F253" s="8"/>
      <c r="G253" s="8"/>
      <c r="L253" s="8"/>
    </row>
    <row r="254">
      <c r="F254" s="8"/>
      <c r="G254" s="8"/>
      <c r="L254" s="8"/>
    </row>
    <row r="255">
      <c r="F255" s="8"/>
      <c r="G255" s="8"/>
      <c r="L255" s="8"/>
    </row>
    <row r="256">
      <c r="F256" s="8"/>
      <c r="G256" s="8"/>
      <c r="L256" s="8"/>
    </row>
    <row r="257">
      <c r="F257" s="8"/>
      <c r="G257" s="8"/>
      <c r="L257" s="8"/>
    </row>
    <row r="258">
      <c r="F258" s="8"/>
      <c r="G258" s="8"/>
      <c r="L258" s="8"/>
    </row>
    <row r="259">
      <c r="F259" s="8"/>
      <c r="G259" s="8"/>
      <c r="L259" s="8"/>
    </row>
    <row r="260">
      <c r="F260" s="8"/>
      <c r="G260" s="8"/>
      <c r="L260" s="8"/>
    </row>
    <row r="261">
      <c r="F261" s="8"/>
      <c r="G261" s="8"/>
      <c r="L261" s="8"/>
    </row>
    <row r="262">
      <c r="F262" s="8"/>
      <c r="G262" s="8"/>
      <c r="L262" s="8"/>
    </row>
    <row r="263">
      <c r="F263" s="8"/>
      <c r="G263" s="8"/>
      <c r="L263" s="8"/>
    </row>
    <row r="264">
      <c r="F264" s="8"/>
      <c r="G264" s="8"/>
      <c r="L264" s="8"/>
    </row>
    <row r="265">
      <c r="F265" s="8"/>
      <c r="G265" s="8"/>
      <c r="L265" s="8"/>
    </row>
    <row r="266">
      <c r="F266" s="8"/>
      <c r="G266" s="8"/>
      <c r="L266" s="8"/>
    </row>
    <row r="267">
      <c r="F267" s="8"/>
      <c r="G267" s="8"/>
      <c r="L267" s="8"/>
    </row>
    <row r="268">
      <c r="F268" s="8"/>
      <c r="G268" s="8"/>
      <c r="L268" s="8"/>
    </row>
    <row r="269">
      <c r="F269" s="8"/>
      <c r="G269" s="8"/>
      <c r="L269" s="8"/>
    </row>
    <row r="270">
      <c r="F270" s="8"/>
      <c r="G270" s="8"/>
      <c r="L270" s="8"/>
    </row>
    <row r="271">
      <c r="F271" s="8"/>
      <c r="G271" s="8"/>
      <c r="L271" s="8"/>
    </row>
    <row r="272">
      <c r="F272" s="8"/>
      <c r="G272" s="8"/>
      <c r="L272" s="8"/>
    </row>
    <row r="273">
      <c r="F273" s="8"/>
      <c r="G273" s="8"/>
      <c r="L273" s="8"/>
    </row>
    <row r="274">
      <c r="F274" s="8"/>
      <c r="G274" s="8"/>
      <c r="L274" s="8"/>
    </row>
    <row r="275">
      <c r="F275" s="8"/>
      <c r="G275" s="8"/>
      <c r="L275" s="8"/>
    </row>
    <row r="276">
      <c r="F276" s="8"/>
      <c r="G276" s="8"/>
      <c r="L276" s="8"/>
    </row>
    <row r="277">
      <c r="F277" s="8"/>
      <c r="G277" s="8"/>
      <c r="L277" s="8"/>
    </row>
    <row r="278">
      <c r="F278" s="8"/>
      <c r="G278" s="8"/>
      <c r="L278" s="8"/>
    </row>
    <row r="279">
      <c r="F279" s="8"/>
      <c r="G279" s="8"/>
      <c r="L279" s="8"/>
    </row>
    <row r="280">
      <c r="F280" s="8"/>
      <c r="G280" s="8"/>
      <c r="L280" s="8"/>
    </row>
    <row r="281">
      <c r="F281" s="8"/>
      <c r="G281" s="8"/>
      <c r="L281" s="8"/>
    </row>
    <row r="282">
      <c r="F282" s="8"/>
      <c r="G282" s="8"/>
      <c r="L282" s="8"/>
    </row>
    <row r="283">
      <c r="F283" s="8"/>
      <c r="G283" s="8"/>
      <c r="L283" s="8"/>
    </row>
    <row r="284">
      <c r="F284" s="8"/>
      <c r="G284" s="8"/>
      <c r="L284" s="8"/>
    </row>
    <row r="285">
      <c r="F285" s="8"/>
      <c r="G285" s="8"/>
      <c r="L285" s="8"/>
    </row>
    <row r="286">
      <c r="F286" s="8"/>
      <c r="G286" s="8"/>
      <c r="L286" s="8"/>
    </row>
    <row r="287">
      <c r="F287" s="8"/>
      <c r="G287" s="8"/>
      <c r="L287" s="8"/>
    </row>
    <row r="288">
      <c r="F288" s="8"/>
      <c r="G288" s="8"/>
      <c r="L288" s="8"/>
    </row>
    <row r="289">
      <c r="F289" s="8"/>
      <c r="G289" s="8"/>
      <c r="L289" s="8"/>
    </row>
    <row r="290">
      <c r="F290" s="8"/>
      <c r="G290" s="8"/>
      <c r="L290" s="8"/>
    </row>
    <row r="291">
      <c r="F291" s="8"/>
      <c r="G291" s="8"/>
      <c r="L291" s="8"/>
    </row>
    <row r="292">
      <c r="F292" s="8"/>
      <c r="G292" s="8"/>
      <c r="L292" s="8"/>
    </row>
    <row r="293">
      <c r="F293" s="8"/>
      <c r="G293" s="8"/>
      <c r="L293" s="8"/>
    </row>
    <row r="294">
      <c r="F294" s="8"/>
      <c r="G294" s="8"/>
      <c r="L294" s="8"/>
    </row>
    <row r="295">
      <c r="F295" s="8"/>
      <c r="G295" s="8"/>
      <c r="L295" s="8"/>
    </row>
    <row r="296">
      <c r="F296" s="8"/>
      <c r="G296" s="8"/>
      <c r="L296" s="8"/>
    </row>
    <row r="297">
      <c r="F297" s="8"/>
      <c r="G297" s="8"/>
      <c r="L297" s="8"/>
    </row>
    <row r="298">
      <c r="F298" s="8"/>
      <c r="G298" s="8"/>
      <c r="L298" s="8"/>
    </row>
    <row r="299">
      <c r="F299" s="8"/>
      <c r="G299" s="8"/>
      <c r="L299" s="8"/>
    </row>
    <row r="300">
      <c r="F300" s="8"/>
      <c r="G300" s="8"/>
      <c r="L300" s="8"/>
    </row>
    <row r="301">
      <c r="F301" s="8"/>
      <c r="G301" s="8"/>
      <c r="L301" s="8"/>
    </row>
    <row r="302">
      <c r="F302" s="8"/>
      <c r="G302" s="8"/>
      <c r="L302" s="8"/>
    </row>
    <row r="303">
      <c r="F303" s="8"/>
      <c r="G303" s="8"/>
      <c r="L303" s="8"/>
    </row>
    <row r="304">
      <c r="F304" s="8"/>
      <c r="G304" s="8"/>
      <c r="L304" s="8"/>
    </row>
    <row r="305">
      <c r="F305" s="8"/>
      <c r="G305" s="8"/>
      <c r="L305" s="8"/>
    </row>
    <row r="306">
      <c r="F306" s="8"/>
      <c r="G306" s="8"/>
      <c r="L306" s="8"/>
    </row>
    <row r="307">
      <c r="F307" s="8"/>
      <c r="G307" s="8"/>
      <c r="L307" s="8"/>
    </row>
    <row r="308">
      <c r="F308" s="8"/>
      <c r="G308" s="8"/>
      <c r="L308" s="8"/>
    </row>
    <row r="309">
      <c r="F309" s="8"/>
      <c r="G309" s="8"/>
      <c r="L309" s="8"/>
    </row>
    <row r="310">
      <c r="F310" s="8"/>
      <c r="G310" s="8"/>
      <c r="L310" s="8"/>
    </row>
    <row r="311">
      <c r="F311" s="8"/>
      <c r="G311" s="8"/>
      <c r="L311" s="8"/>
    </row>
    <row r="312">
      <c r="F312" s="8"/>
      <c r="G312" s="8"/>
      <c r="L312" s="8"/>
    </row>
    <row r="313">
      <c r="F313" s="8"/>
      <c r="G313" s="8"/>
      <c r="L313" s="8"/>
    </row>
    <row r="314">
      <c r="F314" s="8"/>
      <c r="G314" s="8"/>
      <c r="L314" s="8"/>
    </row>
    <row r="315">
      <c r="F315" s="8"/>
      <c r="G315" s="8"/>
      <c r="L315" s="8"/>
    </row>
    <row r="316">
      <c r="F316" s="8"/>
      <c r="G316" s="8"/>
      <c r="L316" s="8"/>
    </row>
    <row r="317">
      <c r="F317" s="8"/>
      <c r="G317" s="8"/>
      <c r="L317" s="8"/>
    </row>
    <row r="318">
      <c r="F318" s="8"/>
      <c r="G318" s="8"/>
      <c r="L318" s="8"/>
    </row>
    <row r="319">
      <c r="F319" s="8"/>
      <c r="G319" s="8"/>
      <c r="L319" s="8"/>
    </row>
    <row r="320">
      <c r="F320" s="8"/>
      <c r="G320" s="8"/>
      <c r="L320" s="8"/>
    </row>
    <row r="321">
      <c r="F321" s="8"/>
      <c r="G321" s="8"/>
      <c r="L321" s="8"/>
    </row>
    <row r="322">
      <c r="F322" s="8"/>
      <c r="G322" s="8"/>
      <c r="L322" s="8"/>
    </row>
    <row r="323">
      <c r="F323" s="8"/>
      <c r="G323" s="8"/>
      <c r="L323" s="8"/>
    </row>
    <row r="324">
      <c r="F324" s="8"/>
      <c r="G324" s="8"/>
      <c r="L324" s="8"/>
    </row>
    <row r="325">
      <c r="F325" s="8"/>
      <c r="G325" s="8"/>
      <c r="L325" s="8"/>
    </row>
    <row r="326">
      <c r="F326" s="8"/>
      <c r="G326" s="8"/>
      <c r="L326" s="8"/>
    </row>
    <row r="327">
      <c r="F327" s="8"/>
      <c r="G327" s="8"/>
      <c r="L327" s="8"/>
    </row>
    <row r="328">
      <c r="F328" s="8"/>
      <c r="G328" s="8"/>
      <c r="L328" s="8"/>
    </row>
    <row r="329">
      <c r="F329" s="8"/>
      <c r="G329" s="8"/>
      <c r="L329" s="8"/>
    </row>
    <row r="330">
      <c r="F330" s="8"/>
      <c r="G330" s="8"/>
      <c r="L330" s="8"/>
    </row>
    <row r="331">
      <c r="F331" s="8"/>
      <c r="G331" s="8"/>
      <c r="L331" s="8"/>
    </row>
    <row r="332">
      <c r="F332" s="8"/>
      <c r="G332" s="8"/>
      <c r="L332" s="8"/>
    </row>
    <row r="333">
      <c r="F333" s="8"/>
      <c r="G333" s="8"/>
      <c r="L333" s="8"/>
    </row>
    <row r="334">
      <c r="F334" s="8"/>
      <c r="G334" s="8"/>
      <c r="L334" s="8"/>
    </row>
    <row r="335">
      <c r="F335" s="8"/>
      <c r="G335" s="8"/>
      <c r="L335" s="8"/>
    </row>
    <row r="336">
      <c r="F336" s="8"/>
      <c r="G336" s="8"/>
      <c r="L336" s="8"/>
    </row>
    <row r="337">
      <c r="F337" s="8"/>
      <c r="G337" s="8"/>
      <c r="L337" s="8"/>
    </row>
    <row r="338">
      <c r="F338" s="8"/>
      <c r="G338" s="8"/>
      <c r="L338" s="8"/>
    </row>
    <row r="339">
      <c r="F339" s="8"/>
      <c r="G339" s="8"/>
      <c r="L339" s="8"/>
    </row>
    <row r="340">
      <c r="F340" s="8"/>
      <c r="G340" s="8"/>
      <c r="L340" s="8"/>
    </row>
    <row r="341">
      <c r="F341" s="8"/>
      <c r="G341" s="8"/>
      <c r="L341" s="8"/>
    </row>
    <row r="342">
      <c r="F342" s="8"/>
      <c r="G342" s="8"/>
      <c r="L342" s="8"/>
    </row>
    <row r="343">
      <c r="F343" s="8"/>
      <c r="G343" s="8"/>
      <c r="L343" s="8"/>
    </row>
    <row r="344">
      <c r="F344" s="8"/>
      <c r="G344" s="8"/>
      <c r="L344" s="8"/>
    </row>
    <row r="345">
      <c r="F345" s="8"/>
      <c r="G345" s="8"/>
      <c r="L345" s="8"/>
    </row>
    <row r="346">
      <c r="F346" s="8"/>
      <c r="G346" s="8"/>
      <c r="L346" s="8"/>
    </row>
    <row r="347">
      <c r="F347" s="8"/>
      <c r="G347" s="8"/>
      <c r="L347" s="8"/>
    </row>
    <row r="348">
      <c r="F348" s="8"/>
      <c r="G348" s="8"/>
      <c r="L348" s="8"/>
    </row>
    <row r="349">
      <c r="F349" s="8"/>
      <c r="G349" s="8"/>
      <c r="L349" s="8"/>
    </row>
    <row r="350">
      <c r="F350" s="8"/>
      <c r="G350" s="8"/>
      <c r="L350" s="8"/>
    </row>
    <row r="351">
      <c r="F351" s="8"/>
      <c r="G351" s="8"/>
      <c r="L351" s="8"/>
    </row>
    <row r="352">
      <c r="F352" s="8"/>
      <c r="G352" s="8"/>
      <c r="L352" s="8"/>
    </row>
    <row r="353">
      <c r="F353" s="8"/>
      <c r="G353" s="8"/>
      <c r="L353" s="8"/>
    </row>
    <row r="354">
      <c r="F354" s="8"/>
      <c r="G354" s="8"/>
      <c r="L354" s="8"/>
    </row>
    <row r="355">
      <c r="F355" s="8"/>
      <c r="G355" s="8"/>
      <c r="L355" s="8"/>
    </row>
    <row r="356">
      <c r="F356" s="8"/>
      <c r="G356" s="8"/>
      <c r="L356" s="8"/>
    </row>
    <row r="357">
      <c r="F357" s="8"/>
      <c r="G357" s="8"/>
      <c r="L357" s="8"/>
    </row>
    <row r="358">
      <c r="F358" s="8"/>
      <c r="G358" s="8"/>
      <c r="L358" s="8"/>
    </row>
    <row r="359">
      <c r="F359" s="8"/>
      <c r="G359" s="8"/>
      <c r="L359" s="8"/>
    </row>
    <row r="360">
      <c r="F360" s="8"/>
      <c r="G360" s="8"/>
      <c r="L360" s="8"/>
    </row>
    <row r="361">
      <c r="F361" s="8"/>
      <c r="G361" s="8"/>
      <c r="L361" s="8"/>
    </row>
    <row r="362">
      <c r="F362" s="8"/>
      <c r="G362" s="8"/>
      <c r="L362" s="8"/>
    </row>
    <row r="363">
      <c r="F363" s="8"/>
      <c r="G363" s="8"/>
      <c r="L363" s="8"/>
    </row>
    <row r="364">
      <c r="F364" s="8"/>
      <c r="G364" s="8"/>
      <c r="L364" s="8"/>
    </row>
    <row r="365">
      <c r="F365" s="8"/>
      <c r="G365" s="8"/>
      <c r="L365" s="8"/>
    </row>
    <row r="366">
      <c r="F366" s="8"/>
      <c r="G366" s="8"/>
      <c r="L366" s="8"/>
    </row>
    <row r="367">
      <c r="F367" s="8"/>
      <c r="G367" s="8"/>
      <c r="L367" s="8"/>
    </row>
    <row r="368">
      <c r="F368" s="8"/>
      <c r="G368" s="8"/>
      <c r="L368" s="8"/>
    </row>
    <row r="369">
      <c r="F369" s="8"/>
      <c r="G369" s="8"/>
      <c r="L369" s="8"/>
    </row>
    <row r="370">
      <c r="F370" s="8"/>
      <c r="G370" s="8"/>
      <c r="L370" s="8"/>
    </row>
    <row r="371">
      <c r="F371" s="8"/>
      <c r="G371" s="8"/>
      <c r="L371" s="8"/>
    </row>
    <row r="372">
      <c r="F372" s="8"/>
      <c r="G372" s="8"/>
      <c r="L372" s="8"/>
    </row>
    <row r="373">
      <c r="F373" s="8"/>
      <c r="G373" s="8"/>
      <c r="L373" s="8"/>
    </row>
    <row r="374">
      <c r="F374" s="8"/>
      <c r="G374" s="8"/>
      <c r="L374" s="8"/>
    </row>
    <row r="375">
      <c r="F375" s="8"/>
      <c r="G375" s="8"/>
      <c r="L375" s="8"/>
    </row>
    <row r="376">
      <c r="F376" s="8"/>
      <c r="G376" s="8"/>
      <c r="L376" s="8"/>
    </row>
    <row r="377">
      <c r="F377" s="8"/>
      <c r="G377" s="8"/>
      <c r="L377" s="8"/>
    </row>
    <row r="378">
      <c r="F378" s="8"/>
      <c r="G378" s="8"/>
      <c r="L378" s="8"/>
    </row>
    <row r="379">
      <c r="F379" s="8"/>
      <c r="G379" s="8"/>
      <c r="L379" s="8"/>
    </row>
    <row r="380">
      <c r="F380" s="8"/>
      <c r="G380" s="8"/>
      <c r="L380" s="8"/>
    </row>
    <row r="381">
      <c r="F381" s="8"/>
      <c r="G381" s="8"/>
      <c r="L381" s="8"/>
    </row>
    <row r="382">
      <c r="F382" s="8"/>
      <c r="G382" s="8"/>
      <c r="L382" s="8"/>
    </row>
    <row r="383">
      <c r="F383" s="8"/>
      <c r="G383" s="8"/>
      <c r="L383" s="8"/>
    </row>
    <row r="384">
      <c r="F384" s="8"/>
      <c r="G384" s="8"/>
      <c r="L384" s="8"/>
    </row>
    <row r="385">
      <c r="F385" s="8"/>
      <c r="G385" s="8"/>
      <c r="L385" s="8"/>
    </row>
    <row r="386">
      <c r="F386" s="8"/>
      <c r="G386" s="8"/>
      <c r="L386" s="8"/>
    </row>
    <row r="387">
      <c r="F387" s="8"/>
      <c r="G387" s="8"/>
      <c r="L387" s="8"/>
    </row>
    <row r="388">
      <c r="F388" s="8"/>
      <c r="G388" s="8"/>
      <c r="L388" s="8"/>
    </row>
    <row r="389">
      <c r="F389" s="8"/>
      <c r="G389" s="8"/>
      <c r="L389" s="8"/>
    </row>
    <row r="390">
      <c r="F390" s="8"/>
      <c r="G390" s="8"/>
      <c r="L390" s="8"/>
    </row>
    <row r="391">
      <c r="F391" s="8"/>
      <c r="G391" s="8"/>
      <c r="L391" s="8"/>
    </row>
    <row r="392">
      <c r="F392" s="8"/>
      <c r="G392" s="8"/>
      <c r="L392" s="8"/>
    </row>
    <row r="393">
      <c r="F393" s="8"/>
      <c r="G393" s="8"/>
      <c r="L393" s="8"/>
    </row>
    <row r="394">
      <c r="F394" s="8"/>
      <c r="G394" s="8"/>
      <c r="L394" s="8"/>
    </row>
    <row r="395">
      <c r="F395" s="8"/>
      <c r="G395" s="8"/>
      <c r="L395" s="8"/>
    </row>
    <row r="396">
      <c r="F396" s="8"/>
      <c r="G396" s="8"/>
      <c r="L396" s="8"/>
    </row>
    <row r="397">
      <c r="F397" s="8"/>
      <c r="G397" s="8"/>
      <c r="L397" s="8"/>
    </row>
    <row r="398">
      <c r="F398" s="8"/>
      <c r="G398" s="8"/>
      <c r="L398" s="8"/>
    </row>
    <row r="399">
      <c r="F399" s="8"/>
      <c r="G399" s="8"/>
      <c r="L399" s="8"/>
    </row>
    <row r="400">
      <c r="F400" s="8"/>
      <c r="G400" s="8"/>
      <c r="L400" s="8"/>
    </row>
    <row r="401">
      <c r="F401" s="8"/>
      <c r="G401" s="8"/>
      <c r="L401" s="8"/>
    </row>
    <row r="402">
      <c r="F402" s="8"/>
      <c r="G402" s="8"/>
      <c r="L402" s="8"/>
    </row>
    <row r="403">
      <c r="F403" s="8"/>
      <c r="G403" s="8"/>
      <c r="L403" s="8"/>
    </row>
    <row r="404">
      <c r="F404" s="8"/>
      <c r="G404" s="8"/>
      <c r="L404" s="8"/>
    </row>
    <row r="405">
      <c r="F405" s="8"/>
      <c r="G405" s="8"/>
      <c r="L405" s="8"/>
    </row>
    <row r="406">
      <c r="F406" s="8"/>
      <c r="G406" s="8"/>
      <c r="L406" s="8"/>
    </row>
    <row r="407">
      <c r="F407" s="8"/>
      <c r="G407" s="8"/>
      <c r="L407" s="8"/>
    </row>
    <row r="408">
      <c r="F408" s="8"/>
      <c r="G408" s="8"/>
      <c r="L408" s="8"/>
    </row>
    <row r="409">
      <c r="F409" s="8"/>
      <c r="G409" s="8"/>
      <c r="L409" s="8"/>
    </row>
    <row r="410">
      <c r="F410" s="8"/>
      <c r="G410" s="8"/>
      <c r="L410" s="8"/>
    </row>
    <row r="411">
      <c r="F411" s="8"/>
      <c r="G411" s="8"/>
      <c r="L411" s="8"/>
    </row>
    <row r="412">
      <c r="F412" s="8"/>
      <c r="G412" s="8"/>
      <c r="L412" s="8"/>
    </row>
    <row r="413">
      <c r="F413" s="8"/>
      <c r="G413" s="8"/>
      <c r="L413" s="8"/>
    </row>
    <row r="414">
      <c r="F414" s="8"/>
      <c r="G414" s="8"/>
      <c r="L414" s="8"/>
    </row>
    <row r="415">
      <c r="F415" s="8"/>
      <c r="G415" s="8"/>
      <c r="L415" s="8"/>
    </row>
    <row r="416">
      <c r="F416" s="8"/>
      <c r="G416" s="8"/>
      <c r="L416" s="8"/>
    </row>
    <row r="417">
      <c r="F417" s="8"/>
      <c r="G417" s="8"/>
      <c r="L417" s="8"/>
    </row>
    <row r="418">
      <c r="F418" s="8"/>
      <c r="G418" s="8"/>
      <c r="L418" s="8"/>
    </row>
    <row r="419">
      <c r="F419" s="8"/>
      <c r="G419" s="8"/>
      <c r="L419" s="8"/>
    </row>
    <row r="420">
      <c r="F420" s="8"/>
      <c r="G420" s="8"/>
      <c r="L420" s="8"/>
    </row>
    <row r="421">
      <c r="F421" s="8"/>
      <c r="G421" s="8"/>
      <c r="L421" s="8"/>
    </row>
    <row r="422">
      <c r="F422" s="8"/>
      <c r="G422" s="8"/>
      <c r="L422" s="8"/>
    </row>
    <row r="423">
      <c r="F423" s="8"/>
      <c r="G423" s="8"/>
      <c r="L423" s="8"/>
    </row>
    <row r="424">
      <c r="F424" s="8"/>
      <c r="G424" s="8"/>
      <c r="L424" s="8"/>
    </row>
    <row r="425">
      <c r="F425" s="8"/>
      <c r="G425" s="8"/>
      <c r="L425" s="8"/>
    </row>
    <row r="426">
      <c r="F426" s="8"/>
      <c r="G426" s="8"/>
      <c r="L426" s="8"/>
    </row>
    <row r="427">
      <c r="F427" s="8"/>
      <c r="G427" s="8"/>
      <c r="L427" s="8"/>
    </row>
    <row r="428">
      <c r="F428" s="8"/>
      <c r="G428" s="8"/>
      <c r="L428" s="8"/>
    </row>
    <row r="429">
      <c r="F429" s="8"/>
      <c r="G429" s="8"/>
      <c r="L429" s="8"/>
    </row>
    <row r="430">
      <c r="F430" s="8"/>
      <c r="G430" s="8"/>
      <c r="L430" s="8"/>
    </row>
    <row r="431">
      <c r="F431" s="8"/>
      <c r="G431" s="8"/>
      <c r="L431" s="8"/>
    </row>
    <row r="432">
      <c r="F432" s="8"/>
      <c r="G432" s="8"/>
      <c r="L432" s="8"/>
    </row>
    <row r="433">
      <c r="F433" s="8"/>
      <c r="G433" s="8"/>
      <c r="L433" s="8"/>
    </row>
    <row r="434">
      <c r="F434" s="8"/>
      <c r="G434" s="8"/>
      <c r="L434" s="8"/>
    </row>
    <row r="435">
      <c r="F435" s="8"/>
      <c r="G435" s="8"/>
      <c r="L435" s="8"/>
    </row>
    <row r="436">
      <c r="F436" s="8"/>
      <c r="G436" s="8"/>
      <c r="L436" s="8"/>
    </row>
    <row r="437">
      <c r="F437" s="8"/>
      <c r="G437" s="8"/>
      <c r="L437" s="8"/>
    </row>
    <row r="438">
      <c r="F438" s="8"/>
      <c r="G438" s="8"/>
      <c r="L438" s="8"/>
    </row>
    <row r="439">
      <c r="F439" s="8"/>
      <c r="G439" s="8"/>
      <c r="L439" s="8"/>
    </row>
    <row r="440">
      <c r="F440" s="8"/>
      <c r="G440" s="8"/>
      <c r="L440" s="8"/>
    </row>
    <row r="441">
      <c r="F441" s="8"/>
      <c r="G441" s="8"/>
      <c r="L441" s="8"/>
    </row>
    <row r="442">
      <c r="F442" s="8"/>
      <c r="G442" s="8"/>
      <c r="L442" s="8"/>
    </row>
    <row r="443">
      <c r="F443" s="8"/>
      <c r="G443" s="8"/>
      <c r="L443" s="8"/>
    </row>
    <row r="444">
      <c r="F444" s="8"/>
      <c r="G444" s="8"/>
      <c r="L444" s="8"/>
    </row>
    <row r="445">
      <c r="F445" s="8"/>
      <c r="G445" s="8"/>
      <c r="L445" s="8"/>
    </row>
    <row r="446">
      <c r="F446" s="8"/>
      <c r="G446" s="8"/>
      <c r="L446" s="8"/>
    </row>
    <row r="447">
      <c r="F447" s="8"/>
      <c r="G447" s="8"/>
      <c r="L447" s="8"/>
    </row>
    <row r="448">
      <c r="F448" s="8"/>
      <c r="G448" s="8"/>
      <c r="L448" s="8"/>
    </row>
    <row r="449">
      <c r="F449" s="8"/>
      <c r="G449" s="8"/>
      <c r="L449" s="8"/>
    </row>
    <row r="450">
      <c r="F450" s="8"/>
      <c r="G450" s="8"/>
      <c r="L450" s="8"/>
    </row>
    <row r="451">
      <c r="F451" s="8"/>
      <c r="G451" s="8"/>
      <c r="L451" s="8"/>
    </row>
    <row r="452">
      <c r="F452" s="8"/>
      <c r="G452" s="8"/>
      <c r="L452" s="8"/>
    </row>
    <row r="453">
      <c r="F453" s="8"/>
      <c r="G453" s="8"/>
      <c r="L453" s="8"/>
    </row>
    <row r="454">
      <c r="F454" s="8"/>
      <c r="G454" s="8"/>
      <c r="L454" s="8"/>
    </row>
    <row r="455">
      <c r="F455" s="8"/>
      <c r="G455" s="8"/>
      <c r="L455" s="8"/>
    </row>
    <row r="456">
      <c r="F456" s="8"/>
      <c r="G456" s="8"/>
      <c r="L456" s="8"/>
    </row>
    <row r="457">
      <c r="F457" s="8"/>
      <c r="G457" s="8"/>
      <c r="L457" s="8"/>
    </row>
    <row r="458">
      <c r="F458" s="8"/>
      <c r="G458" s="8"/>
      <c r="L458" s="8"/>
    </row>
    <row r="459">
      <c r="F459" s="8"/>
      <c r="G459" s="8"/>
      <c r="L459" s="8"/>
    </row>
    <row r="460">
      <c r="F460" s="8"/>
      <c r="G460" s="8"/>
      <c r="L460" s="8"/>
    </row>
    <row r="461">
      <c r="F461" s="8"/>
      <c r="G461" s="8"/>
      <c r="L461" s="8"/>
    </row>
    <row r="462">
      <c r="F462" s="8"/>
      <c r="G462" s="8"/>
      <c r="L462" s="8"/>
    </row>
    <row r="463">
      <c r="F463" s="8"/>
      <c r="G463" s="8"/>
      <c r="L463" s="8"/>
    </row>
    <row r="464">
      <c r="F464" s="8"/>
      <c r="G464" s="8"/>
      <c r="L464" s="8"/>
    </row>
    <row r="465">
      <c r="F465" s="8"/>
      <c r="G465" s="8"/>
      <c r="L465" s="8"/>
    </row>
    <row r="466">
      <c r="F466" s="8"/>
      <c r="G466" s="8"/>
      <c r="L466" s="8"/>
    </row>
    <row r="467">
      <c r="F467" s="8"/>
      <c r="G467" s="8"/>
      <c r="L467" s="8"/>
    </row>
    <row r="468">
      <c r="F468" s="8"/>
      <c r="G468" s="8"/>
      <c r="L468" s="8"/>
    </row>
    <row r="469">
      <c r="F469" s="8"/>
      <c r="G469" s="8"/>
      <c r="L469" s="8"/>
    </row>
    <row r="470">
      <c r="F470" s="8"/>
      <c r="G470" s="8"/>
      <c r="L470" s="8"/>
    </row>
    <row r="471">
      <c r="F471" s="8"/>
      <c r="G471" s="8"/>
      <c r="L471" s="8"/>
    </row>
    <row r="472">
      <c r="F472" s="8"/>
      <c r="G472" s="8"/>
      <c r="L472" s="8"/>
    </row>
    <row r="473">
      <c r="F473" s="8"/>
      <c r="G473" s="8"/>
      <c r="L473" s="8"/>
    </row>
    <row r="474">
      <c r="F474" s="8"/>
      <c r="G474" s="8"/>
      <c r="L474" s="8"/>
    </row>
    <row r="475">
      <c r="F475" s="8"/>
      <c r="G475" s="8"/>
      <c r="L475" s="8"/>
    </row>
    <row r="476">
      <c r="F476" s="8"/>
      <c r="G476" s="8"/>
      <c r="L476" s="8"/>
    </row>
    <row r="477">
      <c r="F477" s="8"/>
      <c r="G477" s="8"/>
      <c r="L477" s="8"/>
    </row>
    <row r="478">
      <c r="F478" s="8"/>
      <c r="G478" s="8"/>
      <c r="L478" s="8"/>
    </row>
    <row r="479">
      <c r="F479" s="8"/>
      <c r="G479" s="8"/>
      <c r="L479" s="8"/>
    </row>
    <row r="480">
      <c r="F480" s="8"/>
      <c r="G480" s="8"/>
      <c r="L480" s="8"/>
    </row>
    <row r="481">
      <c r="F481" s="8"/>
      <c r="G481" s="8"/>
      <c r="L481" s="8"/>
    </row>
    <row r="482">
      <c r="F482" s="8"/>
      <c r="G482" s="8"/>
      <c r="L482" s="8"/>
    </row>
    <row r="483">
      <c r="F483" s="8"/>
      <c r="G483" s="8"/>
      <c r="L483" s="8"/>
    </row>
    <row r="484">
      <c r="F484" s="8"/>
      <c r="G484" s="8"/>
      <c r="L484" s="8"/>
    </row>
    <row r="485">
      <c r="F485" s="8"/>
      <c r="G485" s="8"/>
      <c r="L485" s="8"/>
    </row>
    <row r="486">
      <c r="F486" s="8"/>
      <c r="G486" s="8"/>
      <c r="L486" s="8"/>
    </row>
    <row r="487">
      <c r="F487" s="8"/>
      <c r="G487" s="8"/>
      <c r="L487" s="8"/>
    </row>
    <row r="488">
      <c r="F488" s="8"/>
      <c r="G488" s="8"/>
      <c r="L488" s="8"/>
    </row>
    <row r="489">
      <c r="F489" s="8"/>
      <c r="G489" s="8"/>
      <c r="L489" s="8"/>
    </row>
    <row r="490">
      <c r="F490" s="8"/>
      <c r="G490" s="8"/>
      <c r="L490" s="8"/>
    </row>
    <row r="491">
      <c r="F491" s="8"/>
      <c r="G491" s="8"/>
      <c r="L491" s="8"/>
    </row>
    <row r="492">
      <c r="F492" s="8"/>
      <c r="G492" s="8"/>
      <c r="L492" s="8"/>
    </row>
    <row r="493">
      <c r="F493" s="8"/>
      <c r="G493" s="8"/>
      <c r="L493" s="8"/>
    </row>
    <row r="494">
      <c r="F494" s="8"/>
      <c r="G494" s="8"/>
      <c r="L494" s="8"/>
    </row>
    <row r="495">
      <c r="F495" s="8"/>
      <c r="G495" s="8"/>
      <c r="L495" s="8"/>
    </row>
    <row r="496">
      <c r="F496" s="8"/>
      <c r="G496" s="8"/>
      <c r="L496" s="8"/>
    </row>
    <row r="497">
      <c r="F497" s="8"/>
      <c r="G497" s="8"/>
      <c r="L497" s="8"/>
    </row>
    <row r="498">
      <c r="F498" s="8"/>
      <c r="G498" s="8"/>
      <c r="L498" s="8"/>
    </row>
    <row r="499">
      <c r="F499" s="8"/>
      <c r="G499" s="8"/>
      <c r="L499" s="8"/>
    </row>
    <row r="500">
      <c r="F500" s="8"/>
      <c r="G500" s="8"/>
      <c r="L500" s="8"/>
    </row>
    <row r="501">
      <c r="F501" s="8"/>
      <c r="G501" s="8"/>
      <c r="L501" s="8"/>
    </row>
    <row r="502">
      <c r="F502" s="8"/>
      <c r="G502" s="8"/>
      <c r="L502" s="8"/>
    </row>
    <row r="503">
      <c r="F503" s="8"/>
      <c r="G503" s="8"/>
      <c r="L503" s="8"/>
    </row>
    <row r="504">
      <c r="F504" s="8"/>
      <c r="G504" s="8"/>
      <c r="L504" s="8"/>
    </row>
    <row r="505">
      <c r="F505" s="8"/>
      <c r="G505" s="8"/>
      <c r="L505" s="8"/>
    </row>
    <row r="506">
      <c r="F506" s="8"/>
      <c r="G506" s="8"/>
      <c r="L506" s="8"/>
    </row>
    <row r="507">
      <c r="F507" s="8"/>
      <c r="G507" s="8"/>
      <c r="L507" s="8"/>
    </row>
    <row r="508">
      <c r="F508" s="8"/>
      <c r="G508" s="8"/>
      <c r="L508" s="8"/>
    </row>
    <row r="509">
      <c r="F509" s="8"/>
      <c r="G509" s="8"/>
      <c r="L509" s="8"/>
    </row>
    <row r="510">
      <c r="F510" s="8"/>
      <c r="G510" s="8"/>
      <c r="L510" s="8"/>
    </row>
    <row r="511">
      <c r="F511" s="8"/>
      <c r="G511" s="8"/>
      <c r="L511" s="8"/>
    </row>
    <row r="512">
      <c r="F512" s="8"/>
      <c r="G512" s="8"/>
      <c r="L512" s="8"/>
    </row>
    <row r="513">
      <c r="F513" s="8"/>
      <c r="G513" s="8"/>
      <c r="L513" s="8"/>
    </row>
    <row r="514">
      <c r="F514" s="8"/>
      <c r="G514" s="8"/>
      <c r="L514" s="8"/>
    </row>
    <row r="515">
      <c r="F515" s="8"/>
      <c r="G515" s="8"/>
      <c r="L515" s="8"/>
    </row>
    <row r="516">
      <c r="F516" s="8"/>
      <c r="G516" s="8"/>
      <c r="L516" s="8"/>
    </row>
    <row r="517">
      <c r="F517" s="8"/>
      <c r="G517" s="8"/>
      <c r="L517" s="8"/>
    </row>
    <row r="518">
      <c r="F518" s="8"/>
      <c r="G518" s="8"/>
      <c r="L518" s="8"/>
    </row>
    <row r="519">
      <c r="F519" s="8"/>
      <c r="G519" s="8"/>
      <c r="L519" s="8"/>
    </row>
    <row r="520">
      <c r="F520" s="8"/>
      <c r="G520" s="8"/>
      <c r="L520" s="8"/>
    </row>
    <row r="521">
      <c r="F521" s="8"/>
      <c r="G521" s="8"/>
      <c r="L521" s="8"/>
    </row>
    <row r="522">
      <c r="F522" s="8"/>
      <c r="G522" s="8"/>
      <c r="L522" s="8"/>
    </row>
    <row r="523">
      <c r="F523" s="8"/>
      <c r="G523" s="8"/>
      <c r="L523" s="8"/>
    </row>
    <row r="524">
      <c r="F524" s="8"/>
      <c r="G524" s="8"/>
      <c r="L524" s="8"/>
    </row>
    <row r="525">
      <c r="F525" s="8"/>
      <c r="G525" s="8"/>
      <c r="L525" s="8"/>
    </row>
    <row r="526">
      <c r="F526" s="8"/>
      <c r="G526" s="8"/>
      <c r="L526" s="8"/>
    </row>
    <row r="527">
      <c r="F527" s="8"/>
      <c r="G527" s="8"/>
      <c r="L527" s="8"/>
    </row>
    <row r="528">
      <c r="F528" s="8"/>
      <c r="G528" s="8"/>
      <c r="L528" s="8"/>
    </row>
    <row r="529">
      <c r="F529" s="8"/>
      <c r="G529" s="8"/>
      <c r="L529" s="8"/>
    </row>
    <row r="530">
      <c r="F530" s="8"/>
      <c r="G530" s="8"/>
      <c r="L530" s="8"/>
    </row>
    <row r="531">
      <c r="F531" s="8"/>
      <c r="G531" s="8"/>
      <c r="L531" s="8"/>
    </row>
    <row r="532">
      <c r="F532" s="8"/>
      <c r="G532" s="8"/>
      <c r="L532" s="8"/>
    </row>
    <row r="533">
      <c r="F533" s="8"/>
      <c r="G533" s="8"/>
      <c r="L533" s="8"/>
    </row>
    <row r="534">
      <c r="F534" s="8"/>
      <c r="G534" s="8"/>
      <c r="L534" s="8"/>
    </row>
    <row r="535">
      <c r="F535" s="8"/>
      <c r="G535" s="8"/>
      <c r="L535" s="8"/>
    </row>
    <row r="536">
      <c r="F536" s="8"/>
      <c r="G536" s="8"/>
      <c r="L536" s="8"/>
    </row>
    <row r="537">
      <c r="F537" s="8"/>
      <c r="G537" s="8"/>
      <c r="L537" s="8"/>
    </row>
    <row r="538">
      <c r="F538" s="8"/>
      <c r="G538" s="8"/>
      <c r="L538" s="8"/>
    </row>
    <row r="539">
      <c r="F539" s="8"/>
      <c r="G539" s="8"/>
      <c r="L539" s="8"/>
    </row>
    <row r="540">
      <c r="F540" s="8"/>
      <c r="G540" s="8"/>
      <c r="L540" s="8"/>
    </row>
    <row r="541">
      <c r="F541" s="8"/>
      <c r="G541" s="8"/>
      <c r="L541" s="8"/>
    </row>
    <row r="542">
      <c r="F542" s="8"/>
      <c r="G542" s="8"/>
      <c r="L542" s="8"/>
    </row>
    <row r="543">
      <c r="F543" s="8"/>
      <c r="G543" s="8"/>
      <c r="L543" s="8"/>
    </row>
    <row r="544">
      <c r="F544" s="8"/>
      <c r="G544" s="8"/>
      <c r="L544" s="8"/>
    </row>
    <row r="545">
      <c r="F545" s="8"/>
      <c r="G545" s="8"/>
      <c r="L545" s="8"/>
    </row>
    <row r="546">
      <c r="F546" s="8"/>
      <c r="G546" s="8"/>
      <c r="L546" s="8"/>
    </row>
    <row r="547">
      <c r="F547" s="8"/>
      <c r="G547" s="8"/>
      <c r="L547" s="8"/>
    </row>
    <row r="548">
      <c r="F548" s="8"/>
      <c r="G548" s="8"/>
      <c r="L548" s="8"/>
    </row>
    <row r="549">
      <c r="F549" s="8"/>
      <c r="G549" s="8"/>
      <c r="L549" s="8"/>
    </row>
    <row r="550">
      <c r="F550" s="8"/>
      <c r="G550" s="8"/>
      <c r="L550" s="8"/>
    </row>
    <row r="551">
      <c r="F551" s="8"/>
      <c r="G551" s="8"/>
      <c r="L551" s="8"/>
    </row>
    <row r="552">
      <c r="F552" s="8"/>
      <c r="G552" s="8"/>
      <c r="L552" s="8"/>
    </row>
    <row r="553">
      <c r="F553" s="8"/>
      <c r="G553" s="8"/>
      <c r="L553" s="8"/>
    </row>
    <row r="554">
      <c r="F554" s="8"/>
      <c r="G554" s="8"/>
      <c r="L554" s="8"/>
    </row>
    <row r="555">
      <c r="F555" s="8"/>
      <c r="G555" s="8"/>
      <c r="L555" s="8"/>
    </row>
    <row r="556">
      <c r="F556" s="8"/>
      <c r="G556" s="8"/>
      <c r="L556" s="8"/>
    </row>
    <row r="557">
      <c r="F557" s="8"/>
      <c r="G557" s="8"/>
      <c r="L557" s="8"/>
    </row>
    <row r="558">
      <c r="F558" s="8"/>
      <c r="G558" s="8"/>
      <c r="L558" s="8"/>
    </row>
    <row r="559">
      <c r="F559" s="8"/>
      <c r="G559" s="8"/>
      <c r="L559" s="8"/>
    </row>
    <row r="560">
      <c r="F560" s="8"/>
      <c r="G560" s="8"/>
      <c r="L560" s="8"/>
    </row>
    <row r="561">
      <c r="F561" s="8"/>
      <c r="G561" s="8"/>
      <c r="L561" s="8"/>
    </row>
    <row r="562">
      <c r="F562" s="8"/>
      <c r="G562" s="8"/>
      <c r="L562" s="8"/>
    </row>
    <row r="563">
      <c r="F563" s="8"/>
      <c r="G563" s="8"/>
      <c r="L563" s="8"/>
    </row>
    <row r="564">
      <c r="F564" s="8"/>
      <c r="G564" s="8"/>
      <c r="L564" s="8"/>
    </row>
    <row r="565">
      <c r="F565" s="8"/>
      <c r="G565" s="8"/>
      <c r="L565" s="8"/>
    </row>
    <row r="566">
      <c r="F566" s="8"/>
      <c r="G566" s="8"/>
      <c r="L566" s="8"/>
    </row>
    <row r="567">
      <c r="F567" s="8"/>
      <c r="G567" s="8"/>
      <c r="L567" s="8"/>
    </row>
    <row r="568">
      <c r="F568" s="8"/>
      <c r="G568" s="8"/>
      <c r="L568" s="8"/>
    </row>
    <row r="569">
      <c r="F569" s="8"/>
      <c r="G569" s="8"/>
      <c r="L569" s="8"/>
    </row>
    <row r="570">
      <c r="F570" s="8"/>
      <c r="G570" s="8"/>
      <c r="L570" s="8"/>
    </row>
    <row r="571">
      <c r="F571" s="8"/>
      <c r="G571" s="8"/>
      <c r="L571" s="8"/>
    </row>
    <row r="572">
      <c r="F572" s="8"/>
      <c r="G572" s="8"/>
      <c r="L572" s="8"/>
    </row>
    <row r="573">
      <c r="F573" s="8"/>
      <c r="G573" s="8"/>
      <c r="L573" s="8"/>
    </row>
    <row r="574">
      <c r="F574" s="8"/>
      <c r="G574" s="8"/>
      <c r="L574" s="8"/>
    </row>
    <row r="575">
      <c r="F575" s="8"/>
      <c r="G575" s="8"/>
      <c r="L575" s="8"/>
    </row>
    <row r="576">
      <c r="F576" s="8"/>
      <c r="G576" s="8"/>
      <c r="L576" s="8"/>
    </row>
    <row r="577">
      <c r="F577" s="8"/>
      <c r="G577" s="8"/>
      <c r="L577" s="8"/>
    </row>
    <row r="578">
      <c r="F578" s="8"/>
      <c r="G578" s="8"/>
      <c r="L578" s="8"/>
    </row>
    <row r="579">
      <c r="F579" s="8"/>
      <c r="G579" s="8"/>
      <c r="L579" s="8"/>
    </row>
    <row r="580">
      <c r="F580" s="8"/>
      <c r="G580" s="8"/>
      <c r="L580" s="8"/>
    </row>
    <row r="581">
      <c r="F581" s="8"/>
      <c r="G581" s="8"/>
      <c r="L581" s="8"/>
    </row>
    <row r="582">
      <c r="F582" s="8"/>
      <c r="G582" s="8"/>
      <c r="L582" s="8"/>
    </row>
    <row r="583">
      <c r="F583" s="8"/>
      <c r="G583" s="8"/>
      <c r="L583" s="8"/>
    </row>
    <row r="584">
      <c r="F584" s="8"/>
      <c r="G584" s="8"/>
      <c r="L584" s="8"/>
    </row>
    <row r="585">
      <c r="F585" s="8"/>
      <c r="G585" s="8"/>
      <c r="L585" s="8"/>
    </row>
    <row r="586">
      <c r="F586" s="8"/>
      <c r="G586" s="8"/>
      <c r="L586" s="8"/>
    </row>
    <row r="587">
      <c r="F587" s="8"/>
      <c r="G587" s="8"/>
      <c r="L587" s="8"/>
    </row>
    <row r="588">
      <c r="F588" s="8"/>
      <c r="G588" s="8"/>
      <c r="L588" s="8"/>
    </row>
    <row r="589">
      <c r="F589" s="8"/>
      <c r="G589" s="8"/>
      <c r="L589" s="8"/>
    </row>
    <row r="590">
      <c r="F590" s="8"/>
      <c r="G590" s="8"/>
      <c r="L590" s="8"/>
    </row>
    <row r="591">
      <c r="F591" s="8"/>
      <c r="G591" s="8"/>
      <c r="L591" s="8"/>
    </row>
    <row r="592">
      <c r="F592" s="8"/>
      <c r="G592" s="8"/>
      <c r="L592" s="8"/>
    </row>
    <row r="593">
      <c r="F593" s="8"/>
      <c r="G593" s="8"/>
      <c r="L593" s="8"/>
    </row>
    <row r="594">
      <c r="F594" s="8"/>
      <c r="G594" s="8"/>
      <c r="L594" s="8"/>
    </row>
    <row r="595">
      <c r="F595" s="8"/>
      <c r="G595" s="8"/>
      <c r="L595" s="8"/>
    </row>
    <row r="596">
      <c r="F596" s="8"/>
      <c r="G596" s="8"/>
      <c r="L596" s="8"/>
    </row>
    <row r="597">
      <c r="F597" s="8"/>
      <c r="G597" s="8"/>
      <c r="L597" s="8"/>
    </row>
    <row r="598">
      <c r="F598" s="8"/>
      <c r="G598" s="8"/>
      <c r="L598" s="8"/>
    </row>
    <row r="599">
      <c r="F599" s="8"/>
      <c r="G599" s="8"/>
      <c r="L599" s="8"/>
    </row>
    <row r="600">
      <c r="F600" s="8"/>
      <c r="G600" s="8"/>
      <c r="L600" s="8"/>
    </row>
    <row r="601">
      <c r="F601" s="8"/>
      <c r="G601" s="8"/>
      <c r="L601" s="8"/>
    </row>
    <row r="602">
      <c r="F602" s="8"/>
      <c r="G602" s="8"/>
      <c r="L602" s="8"/>
    </row>
    <row r="603">
      <c r="F603" s="8"/>
      <c r="G603" s="8"/>
      <c r="L603" s="8"/>
    </row>
    <row r="604">
      <c r="F604" s="8"/>
      <c r="G604" s="8"/>
      <c r="L604" s="8"/>
    </row>
    <row r="605">
      <c r="F605" s="8"/>
      <c r="G605" s="8"/>
      <c r="L605" s="8"/>
    </row>
    <row r="606">
      <c r="F606" s="8"/>
      <c r="G606" s="8"/>
      <c r="L606" s="8"/>
    </row>
    <row r="607">
      <c r="F607" s="8"/>
      <c r="G607" s="8"/>
      <c r="L607" s="8"/>
    </row>
    <row r="608">
      <c r="F608" s="8"/>
      <c r="G608" s="8"/>
      <c r="L608" s="8"/>
    </row>
    <row r="609">
      <c r="F609" s="8"/>
      <c r="G609" s="8"/>
      <c r="L609" s="8"/>
    </row>
    <row r="610">
      <c r="F610" s="8"/>
      <c r="G610" s="8"/>
      <c r="L610" s="8"/>
    </row>
    <row r="611">
      <c r="F611" s="8"/>
      <c r="G611" s="8"/>
      <c r="L611" s="8"/>
    </row>
    <row r="612">
      <c r="F612" s="8"/>
      <c r="G612" s="8"/>
      <c r="L612" s="8"/>
    </row>
    <row r="613">
      <c r="F613" s="8"/>
      <c r="G613" s="8"/>
      <c r="L613" s="8"/>
    </row>
    <row r="614">
      <c r="F614" s="8"/>
      <c r="G614" s="8"/>
      <c r="L614" s="8"/>
    </row>
    <row r="615">
      <c r="F615" s="8"/>
      <c r="G615" s="8"/>
      <c r="L615" s="8"/>
    </row>
    <row r="616">
      <c r="F616" s="8"/>
      <c r="G616" s="8"/>
      <c r="L616" s="8"/>
    </row>
    <row r="617">
      <c r="F617" s="8"/>
      <c r="G617" s="8"/>
      <c r="L617" s="8"/>
    </row>
    <row r="618">
      <c r="F618" s="8"/>
      <c r="G618" s="8"/>
      <c r="L618" s="8"/>
    </row>
    <row r="619">
      <c r="F619" s="8"/>
      <c r="G619" s="8"/>
      <c r="L619" s="8"/>
    </row>
    <row r="620">
      <c r="F620" s="8"/>
      <c r="G620" s="8"/>
      <c r="L620" s="8"/>
    </row>
    <row r="621">
      <c r="F621" s="8"/>
      <c r="G621" s="8"/>
      <c r="L621" s="8"/>
    </row>
    <row r="622">
      <c r="F622" s="8"/>
      <c r="G622" s="8"/>
      <c r="L622" s="8"/>
    </row>
    <row r="623">
      <c r="F623" s="8"/>
      <c r="G623" s="8"/>
      <c r="L623" s="8"/>
    </row>
    <row r="624">
      <c r="F624" s="8"/>
      <c r="G624" s="8"/>
      <c r="L624" s="8"/>
    </row>
    <row r="625">
      <c r="F625" s="8"/>
      <c r="G625" s="8"/>
      <c r="L625" s="8"/>
    </row>
    <row r="626">
      <c r="F626" s="8"/>
      <c r="G626" s="8"/>
      <c r="L626" s="8"/>
    </row>
    <row r="627">
      <c r="F627" s="8"/>
      <c r="G627" s="8"/>
      <c r="L627" s="8"/>
    </row>
    <row r="628">
      <c r="F628" s="8"/>
      <c r="G628" s="8"/>
      <c r="L628" s="8"/>
    </row>
    <row r="629">
      <c r="F629" s="8"/>
      <c r="G629" s="8"/>
      <c r="L629" s="8"/>
    </row>
    <row r="630">
      <c r="F630" s="8"/>
      <c r="G630" s="8"/>
      <c r="L630" s="8"/>
    </row>
    <row r="631">
      <c r="F631" s="8"/>
      <c r="G631" s="8"/>
      <c r="L631" s="8"/>
    </row>
    <row r="632">
      <c r="F632" s="8"/>
      <c r="G632" s="8"/>
      <c r="L632" s="8"/>
    </row>
    <row r="633">
      <c r="F633" s="8"/>
      <c r="G633" s="8"/>
      <c r="L633" s="8"/>
    </row>
    <row r="634">
      <c r="F634" s="8"/>
      <c r="G634" s="8"/>
      <c r="L634" s="8"/>
    </row>
    <row r="635">
      <c r="F635" s="8"/>
      <c r="G635" s="8"/>
      <c r="L635" s="8"/>
    </row>
    <row r="636">
      <c r="F636" s="8"/>
      <c r="G636" s="8"/>
      <c r="L636" s="8"/>
    </row>
    <row r="637">
      <c r="F637" s="8"/>
      <c r="G637" s="8"/>
      <c r="L637" s="8"/>
    </row>
    <row r="638">
      <c r="F638" s="8"/>
      <c r="G638" s="8"/>
      <c r="L638" s="8"/>
    </row>
    <row r="639">
      <c r="F639" s="8"/>
      <c r="G639" s="8"/>
      <c r="L639" s="8"/>
    </row>
    <row r="640">
      <c r="F640" s="8"/>
      <c r="G640" s="8"/>
      <c r="L640" s="8"/>
    </row>
    <row r="641">
      <c r="F641" s="8"/>
      <c r="G641" s="8"/>
      <c r="L641" s="8"/>
    </row>
    <row r="642">
      <c r="F642" s="8"/>
      <c r="G642" s="8"/>
      <c r="L642" s="8"/>
    </row>
    <row r="643">
      <c r="F643" s="8"/>
      <c r="G643" s="8"/>
      <c r="L643" s="8"/>
    </row>
    <row r="644">
      <c r="F644" s="8"/>
      <c r="G644" s="8"/>
      <c r="L644" s="8"/>
    </row>
    <row r="645">
      <c r="F645" s="8"/>
      <c r="G645" s="8"/>
      <c r="L645" s="8"/>
    </row>
    <row r="646">
      <c r="F646" s="8"/>
      <c r="G646" s="8"/>
      <c r="L646" s="8"/>
    </row>
    <row r="647">
      <c r="F647" s="8"/>
      <c r="G647" s="8"/>
      <c r="L647" s="8"/>
    </row>
    <row r="648">
      <c r="F648" s="8"/>
      <c r="G648" s="8"/>
      <c r="L648" s="8"/>
    </row>
    <row r="649">
      <c r="F649" s="8"/>
      <c r="G649" s="8"/>
      <c r="L649" s="8"/>
    </row>
    <row r="650">
      <c r="F650" s="8"/>
      <c r="G650" s="8"/>
      <c r="L650" s="8"/>
    </row>
    <row r="651">
      <c r="F651" s="8"/>
      <c r="G651" s="8"/>
      <c r="L651" s="8"/>
    </row>
    <row r="652">
      <c r="F652" s="8"/>
      <c r="G652" s="8"/>
      <c r="L652" s="8"/>
    </row>
    <row r="653">
      <c r="F653" s="8"/>
      <c r="G653" s="8"/>
      <c r="L653" s="8"/>
    </row>
    <row r="654">
      <c r="F654" s="8"/>
      <c r="G654" s="8"/>
      <c r="L654" s="8"/>
    </row>
    <row r="655">
      <c r="F655" s="8"/>
      <c r="G655" s="8"/>
      <c r="L655" s="8"/>
    </row>
    <row r="656">
      <c r="F656" s="8"/>
      <c r="G656" s="8"/>
      <c r="L656" s="8"/>
    </row>
    <row r="657">
      <c r="F657" s="8"/>
      <c r="G657" s="8"/>
      <c r="L657" s="8"/>
    </row>
    <row r="658">
      <c r="F658" s="8"/>
      <c r="G658" s="8"/>
      <c r="L658" s="8"/>
    </row>
    <row r="659">
      <c r="F659" s="8"/>
      <c r="G659" s="8"/>
      <c r="L659" s="8"/>
    </row>
    <row r="660">
      <c r="F660" s="8"/>
      <c r="G660" s="8"/>
      <c r="L660" s="8"/>
    </row>
    <row r="661">
      <c r="F661" s="8"/>
      <c r="G661" s="8"/>
      <c r="L661" s="8"/>
    </row>
    <row r="662">
      <c r="F662" s="8"/>
      <c r="G662" s="8"/>
      <c r="L662" s="8"/>
    </row>
    <row r="663">
      <c r="F663" s="8"/>
      <c r="G663" s="8"/>
      <c r="L663" s="8"/>
    </row>
    <row r="664">
      <c r="F664" s="8"/>
      <c r="G664" s="8"/>
      <c r="L664" s="8"/>
    </row>
    <row r="665">
      <c r="F665" s="8"/>
      <c r="G665" s="8"/>
      <c r="L665" s="8"/>
    </row>
    <row r="666">
      <c r="F666" s="8"/>
      <c r="G666" s="8"/>
      <c r="L666" s="8"/>
    </row>
    <row r="667">
      <c r="F667" s="8"/>
      <c r="G667" s="8"/>
      <c r="L667" s="8"/>
    </row>
    <row r="668">
      <c r="F668" s="8"/>
      <c r="G668" s="8"/>
      <c r="L668" s="8"/>
    </row>
    <row r="669">
      <c r="F669" s="8"/>
      <c r="G669" s="8"/>
      <c r="L669" s="8"/>
    </row>
    <row r="670">
      <c r="F670" s="8"/>
      <c r="G670" s="8"/>
      <c r="L670" s="8"/>
    </row>
    <row r="671">
      <c r="F671" s="8"/>
      <c r="G671" s="8"/>
      <c r="L671" s="8"/>
    </row>
    <row r="672">
      <c r="F672" s="8"/>
      <c r="G672" s="8"/>
      <c r="L672" s="8"/>
    </row>
    <row r="673">
      <c r="F673" s="8"/>
      <c r="G673" s="8"/>
      <c r="L673" s="8"/>
    </row>
    <row r="674">
      <c r="F674" s="8"/>
      <c r="G674" s="8"/>
      <c r="L674" s="8"/>
    </row>
    <row r="675">
      <c r="F675" s="8"/>
      <c r="G675" s="8"/>
      <c r="L675" s="8"/>
    </row>
    <row r="676">
      <c r="F676" s="8"/>
      <c r="G676" s="8"/>
      <c r="L676" s="8"/>
    </row>
    <row r="677">
      <c r="F677" s="8"/>
      <c r="G677" s="8"/>
      <c r="L677" s="8"/>
    </row>
    <row r="678">
      <c r="F678" s="8"/>
      <c r="G678" s="8"/>
      <c r="L678" s="8"/>
    </row>
    <row r="679">
      <c r="F679" s="8"/>
      <c r="G679" s="8"/>
      <c r="L679" s="8"/>
    </row>
    <row r="680">
      <c r="F680" s="8"/>
      <c r="G680" s="8"/>
      <c r="L680" s="8"/>
    </row>
    <row r="681">
      <c r="F681" s="8"/>
      <c r="G681" s="8"/>
      <c r="L681" s="8"/>
    </row>
    <row r="682">
      <c r="F682" s="8"/>
      <c r="G682" s="8"/>
      <c r="L682" s="8"/>
    </row>
    <row r="683">
      <c r="F683" s="8"/>
      <c r="G683" s="8"/>
      <c r="L683" s="8"/>
    </row>
    <row r="684">
      <c r="F684" s="8"/>
      <c r="G684" s="8"/>
      <c r="L684" s="8"/>
    </row>
    <row r="685">
      <c r="F685" s="8"/>
      <c r="G685" s="8"/>
      <c r="L685" s="8"/>
    </row>
    <row r="686">
      <c r="F686" s="8"/>
      <c r="G686" s="8"/>
      <c r="L686" s="8"/>
    </row>
    <row r="687">
      <c r="F687" s="8"/>
      <c r="G687" s="8"/>
      <c r="L687" s="8"/>
    </row>
    <row r="688">
      <c r="F688" s="8"/>
      <c r="G688" s="8"/>
      <c r="L688" s="8"/>
    </row>
    <row r="689">
      <c r="F689" s="8"/>
      <c r="G689" s="8"/>
      <c r="L689" s="8"/>
    </row>
    <row r="690">
      <c r="F690" s="8"/>
      <c r="G690" s="8"/>
      <c r="L690" s="8"/>
    </row>
    <row r="691">
      <c r="F691" s="8"/>
      <c r="G691" s="8"/>
      <c r="L691" s="8"/>
    </row>
    <row r="692">
      <c r="F692" s="8"/>
      <c r="G692" s="8"/>
      <c r="L692" s="8"/>
    </row>
    <row r="693">
      <c r="F693" s="8"/>
      <c r="G693" s="8"/>
      <c r="L693" s="8"/>
    </row>
    <row r="694">
      <c r="F694" s="8"/>
      <c r="G694" s="8"/>
      <c r="L694" s="8"/>
    </row>
    <row r="695">
      <c r="F695" s="8"/>
      <c r="G695" s="8"/>
      <c r="L695" s="8"/>
    </row>
    <row r="696">
      <c r="F696" s="8"/>
      <c r="G696" s="8"/>
      <c r="L696" s="8"/>
    </row>
    <row r="697">
      <c r="F697" s="8"/>
      <c r="G697" s="8"/>
      <c r="L697" s="8"/>
    </row>
    <row r="698">
      <c r="F698" s="8"/>
      <c r="G698" s="8"/>
      <c r="L698" s="8"/>
    </row>
    <row r="699">
      <c r="F699" s="8"/>
      <c r="G699" s="8"/>
      <c r="L699" s="8"/>
    </row>
    <row r="700">
      <c r="F700" s="8"/>
      <c r="G700" s="8"/>
      <c r="L700" s="8"/>
    </row>
    <row r="701">
      <c r="F701" s="8"/>
      <c r="G701" s="8"/>
      <c r="L701" s="8"/>
    </row>
    <row r="702">
      <c r="F702" s="8"/>
      <c r="G702" s="8"/>
      <c r="L702" s="8"/>
    </row>
    <row r="703">
      <c r="F703" s="8"/>
      <c r="G703" s="8"/>
      <c r="L703" s="8"/>
    </row>
    <row r="704">
      <c r="F704" s="8"/>
      <c r="G704" s="8"/>
      <c r="L704" s="8"/>
    </row>
    <row r="705">
      <c r="F705" s="8"/>
      <c r="G705" s="8"/>
      <c r="L705" s="8"/>
    </row>
    <row r="706">
      <c r="F706" s="8"/>
      <c r="G706" s="8"/>
      <c r="L706" s="8"/>
    </row>
    <row r="707">
      <c r="F707" s="8"/>
      <c r="G707" s="8"/>
      <c r="L707" s="8"/>
    </row>
    <row r="708">
      <c r="F708" s="8"/>
      <c r="G708" s="8"/>
      <c r="L708" s="8"/>
    </row>
    <row r="709">
      <c r="F709" s="8"/>
      <c r="G709" s="8"/>
      <c r="L709" s="8"/>
    </row>
    <row r="710">
      <c r="F710" s="8"/>
      <c r="G710" s="8"/>
      <c r="L710" s="8"/>
    </row>
    <row r="711">
      <c r="F711" s="8"/>
      <c r="G711" s="8"/>
      <c r="L711" s="8"/>
    </row>
    <row r="712">
      <c r="F712" s="8"/>
      <c r="G712" s="8"/>
      <c r="L712" s="8"/>
    </row>
    <row r="713">
      <c r="F713" s="8"/>
      <c r="G713" s="8"/>
      <c r="L713" s="8"/>
    </row>
    <row r="714">
      <c r="F714" s="8"/>
      <c r="G714" s="8"/>
      <c r="L714" s="8"/>
    </row>
    <row r="715">
      <c r="F715" s="8"/>
      <c r="G715" s="8"/>
      <c r="L715" s="8"/>
    </row>
    <row r="716">
      <c r="F716" s="8"/>
      <c r="G716" s="8"/>
      <c r="L716" s="8"/>
    </row>
    <row r="717">
      <c r="F717" s="8"/>
      <c r="G717" s="8"/>
      <c r="L717" s="8"/>
    </row>
    <row r="718">
      <c r="F718" s="8"/>
      <c r="G718" s="8"/>
      <c r="L718" s="8"/>
    </row>
    <row r="719">
      <c r="F719" s="8"/>
      <c r="G719" s="8"/>
      <c r="L719" s="8"/>
    </row>
    <row r="720">
      <c r="F720" s="8"/>
      <c r="G720" s="8"/>
      <c r="L720" s="8"/>
    </row>
    <row r="721">
      <c r="F721" s="8"/>
      <c r="G721" s="8"/>
      <c r="L721" s="8"/>
    </row>
    <row r="722">
      <c r="F722" s="8"/>
      <c r="G722" s="8"/>
      <c r="L722" s="8"/>
    </row>
    <row r="723">
      <c r="F723" s="8"/>
      <c r="G723" s="8"/>
      <c r="L723" s="8"/>
    </row>
    <row r="724">
      <c r="F724" s="8"/>
      <c r="G724" s="8"/>
      <c r="L724" s="8"/>
    </row>
    <row r="725">
      <c r="F725" s="8"/>
      <c r="G725" s="8"/>
      <c r="L725" s="8"/>
    </row>
    <row r="726">
      <c r="F726" s="8"/>
      <c r="G726" s="8"/>
      <c r="L726" s="8"/>
    </row>
    <row r="727">
      <c r="F727" s="8"/>
      <c r="G727" s="8"/>
      <c r="L727" s="8"/>
    </row>
    <row r="728">
      <c r="F728" s="8"/>
      <c r="G728" s="8"/>
      <c r="L728" s="8"/>
    </row>
    <row r="729">
      <c r="F729" s="8"/>
      <c r="G729" s="8"/>
      <c r="L729" s="8"/>
    </row>
    <row r="730">
      <c r="F730" s="8"/>
      <c r="G730" s="8"/>
      <c r="L730" s="8"/>
    </row>
    <row r="731">
      <c r="F731" s="8"/>
      <c r="G731" s="8"/>
      <c r="L731" s="8"/>
    </row>
    <row r="732">
      <c r="F732" s="8"/>
      <c r="G732" s="8"/>
      <c r="L732" s="8"/>
    </row>
    <row r="733">
      <c r="F733" s="8"/>
      <c r="G733" s="8"/>
      <c r="L733" s="8"/>
    </row>
    <row r="734">
      <c r="F734" s="8"/>
      <c r="G734" s="8"/>
      <c r="L734" s="8"/>
    </row>
    <row r="735">
      <c r="F735" s="8"/>
      <c r="G735" s="8"/>
      <c r="L735" s="8"/>
    </row>
    <row r="736">
      <c r="F736" s="8"/>
      <c r="G736" s="8"/>
      <c r="L736" s="8"/>
    </row>
    <row r="737">
      <c r="F737" s="8"/>
      <c r="G737" s="8"/>
      <c r="L737" s="8"/>
    </row>
    <row r="738">
      <c r="F738" s="8"/>
      <c r="G738" s="8"/>
      <c r="L738" s="8"/>
    </row>
    <row r="739">
      <c r="F739" s="8"/>
      <c r="G739" s="8"/>
      <c r="L739" s="8"/>
    </row>
    <row r="740">
      <c r="F740" s="8"/>
      <c r="G740" s="8"/>
      <c r="L740" s="8"/>
    </row>
    <row r="741">
      <c r="F741" s="8"/>
      <c r="G741" s="8"/>
      <c r="L741" s="8"/>
    </row>
    <row r="742">
      <c r="F742" s="8"/>
      <c r="G742" s="8"/>
      <c r="L742" s="8"/>
    </row>
    <row r="743">
      <c r="F743" s="8"/>
      <c r="G743" s="8"/>
      <c r="L743" s="8"/>
    </row>
    <row r="744">
      <c r="F744" s="8"/>
      <c r="G744" s="8"/>
      <c r="L744" s="8"/>
    </row>
    <row r="745">
      <c r="F745" s="8"/>
      <c r="G745" s="8"/>
      <c r="L745" s="8"/>
    </row>
    <row r="746">
      <c r="F746" s="8"/>
      <c r="G746" s="8"/>
      <c r="L746" s="8"/>
    </row>
    <row r="747">
      <c r="F747" s="8"/>
      <c r="G747" s="8"/>
      <c r="L747" s="8"/>
    </row>
    <row r="748">
      <c r="F748" s="8"/>
      <c r="G748" s="8"/>
      <c r="L748" s="8"/>
    </row>
    <row r="749">
      <c r="F749" s="8"/>
      <c r="G749" s="8"/>
      <c r="L749" s="8"/>
    </row>
    <row r="750">
      <c r="F750" s="8"/>
      <c r="G750" s="8"/>
      <c r="L750" s="8"/>
    </row>
    <row r="751">
      <c r="F751" s="8"/>
      <c r="G751" s="8"/>
      <c r="L751" s="8"/>
    </row>
    <row r="752">
      <c r="F752" s="8"/>
      <c r="G752" s="8"/>
      <c r="L752" s="8"/>
    </row>
    <row r="753">
      <c r="F753" s="8"/>
      <c r="G753" s="8"/>
      <c r="L753" s="8"/>
    </row>
    <row r="754">
      <c r="F754" s="8"/>
      <c r="G754" s="8"/>
      <c r="L754" s="8"/>
    </row>
    <row r="755">
      <c r="F755" s="8"/>
      <c r="G755" s="8"/>
      <c r="L755" s="8"/>
    </row>
    <row r="756">
      <c r="F756" s="8"/>
      <c r="G756" s="8"/>
      <c r="L756" s="8"/>
    </row>
    <row r="757">
      <c r="F757" s="8"/>
      <c r="G757" s="8"/>
      <c r="L757" s="8"/>
    </row>
    <row r="758">
      <c r="F758" s="8"/>
      <c r="G758" s="8"/>
      <c r="L758" s="8"/>
    </row>
    <row r="759">
      <c r="F759" s="8"/>
      <c r="G759" s="8"/>
      <c r="L759" s="8"/>
    </row>
    <row r="760">
      <c r="F760" s="8"/>
      <c r="G760" s="8"/>
      <c r="L760" s="8"/>
    </row>
    <row r="761">
      <c r="F761" s="8"/>
      <c r="G761" s="8"/>
      <c r="L761" s="8"/>
    </row>
    <row r="762">
      <c r="F762" s="8"/>
      <c r="G762" s="8"/>
      <c r="L762" s="8"/>
    </row>
    <row r="763">
      <c r="F763" s="8"/>
      <c r="G763" s="8"/>
      <c r="L763" s="8"/>
    </row>
    <row r="764">
      <c r="F764" s="8"/>
      <c r="G764" s="8"/>
      <c r="L764" s="8"/>
    </row>
    <row r="765">
      <c r="F765" s="8"/>
      <c r="G765" s="8"/>
      <c r="L765" s="8"/>
    </row>
    <row r="766">
      <c r="F766" s="8"/>
      <c r="G766" s="8"/>
      <c r="L766" s="8"/>
    </row>
    <row r="767">
      <c r="F767" s="8"/>
      <c r="G767" s="8"/>
      <c r="L767" s="8"/>
    </row>
    <row r="768">
      <c r="F768" s="8"/>
      <c r="G768" s="8"/>
      <c r="L768" s="8"/>
    </row>
    <row r="769">
      <c r="F769" s="8"/>
      <c r="G769" s="8"/>
      <c r="L769" s="8"/>
    </row>
    <row r="770">
      <c r="F770" s="8"/>
      <c r="G770" s="8"/>
      <c r="L770" s="8"/>
    </row>
    <row r="771">
      <c r="F771" s="8"/>
      <c r="G771" s="8"/>
      <c r="L771" s="8"/>
    </row>
    <row r="772">
      <c r="F772" s="8"/>
      <c r="G772" s="8"/>
      <c r="L772" s="8"/>
    </row>
    <row r="773">
      <c r="F773" s="8"/>
      <c r="G773" s="8"/>
      <c r="L773" s="8"/>
    </row>
    <row r="774">
      <c r="F774" s="8"/>
      <c r="G774" s="8"/>
      <c r="L774" s="8"/>
    </row>
    <row r="775">
      <c r="F775" s="8"/>
      <c r="G775" s="8"/>
      <c r="L775" s="8"/>
    </row>
    <row r="776">
      <c r="F776" s="8"/>
      <c r="G776" s="8"/>
      <c r="L776" s="8"/>
    </row>
    <row r="777">
      <c r="F777" s="8"/>
      <c r="G777" s="8"/>
      <c r="L777" s="8"/>
    </row>
    <row r="778">
      <c r="F778" s="8"/>
      <c r="G778" s="8"/>
      <c r="L778" s="8"/>
    </row>
    <row r="779">
      <c r="F779" s="8"/>
      <c r="G779" s="8"/>
      <c r="L779" s="8"/>
    </row>
    <row r="780">
      <c r="F780" s="8"/>
      <c r="G780" s="8"/>
      <c r="L780" s="8"/>
    </row>
    <row r="781">
      <c r="F781" s="8"/>
      <c r="G781" s="8"/>
      <c r="L781" s="8"/>
    </row>
    <row r="782">
      <c r="F782" s="8"/>
      <c r="G782" s="8"/>
      <c r="L782" s="8"/>
    </row>
    <row r="783">
      <c r="F783" s="8"/>
      <c r="G783" s="8"/>
      <c r="L783" s="8"/>
    </row>
    <row r="784">
      <c r="F784" s="8"/>
      <c r="G784" s="8"/>
      <c r="L784" s="8"/>
    </row>
    <row r="785">
      <c r="F785" s="8"/>
      <c r="G785" s="8"/>
      <c r="L785" s="8"/>
    </row>
    <row r="786">
      <c r="F786" s="8"/>
      <c r="G786" s="8"/>
      <c r="L786" s="8"/>
    </row>
    <row r="787">
      <c r="F787" s="8"/>
      <c r="G787" s="8"/>
      <c r="L787" s="8"/>
    </row>
    <row r="788">
      <c r="F788" s="8"/>
      <c r="G788" s="8"/>
      <c r="L788" s="8"/>
    </row>
    <row r="789">
      <c r="F789" s="8"/>
      <c r="G789" s="8"/>
      <c r="L789" s="8"/>
    </row>
    <row r="790">
      <c r="F790" s="8"/>
      <c r="G790" s="8"/>
      <c r="L790" s="8"/>
    </row>
    <row r="791">
      <c r="F791" s="8"/>
      <c r="G791" s="8"/>
      <c r="L791" s="8"/>
    </row>
    <row r="792">
      <c r="F792" s="8"/>
      <c r="G792" s="8"/>
      <c r="L792" s="8"/>
    </row>
    <row r="793">
      <c r="F793" s="8"/>
      <c r="G793" s="8"/>
      <c r="L793" s="8"/>
    </row>
    <row r="794">
      <c r="F794" s="8"/>
      <c r="G794" s="8"/>
      <c r="L794" s="8"/>
    </row>
    <row r="795">
      <c r="F795" s="8"/>
      <c r="G795" s="8"/>
      <c r="L795" s="8"/>
    </row>
    <row r="796">
      <c r="F796" s="8"/>
      <c r="G796" s="8"/>
      <c r="L796" s="8"/>
    </row>
    <row r="797">
      <c r="F797" s="8"/>
      <c r="G797" s="8"/>
      <c r="L797" s="8"/>
    </row>
    <row r="798">
      <c r="F798" s="8"/>
      <c r="G798" s="8"/>
      <c r="L798" s="8"/>
    </row>
    <row r="799">
      <c r="F799" s="8"/>
      <c r="G799" s="8"/>
      <c r="L799" s="8"/>
    </row>
    <row r="800">
      <c r="F800" s="8"/>
      <c r="G800" s="8"/>
      <c r="L800" s="8"/>
    </row>
    <row r="801">
      <c r="F801" s="8"/>
      <c r="G801" s="8"/>
      <c r="L801" s="8"/>
    </row>
    <row r="802">
      <c r="F802" s="8"/>
      <c r="G802" s="8"/>
      <c r="L802" s="8"/>
    </row>
    <row r="803">
      <c r="F803" s="8"/>
      <c r="G803" s="8"/>
      <c r="L803" s="8"/>
    </row>
    <row r="804">
      <c r="F804" s="8"/>
      <c r="G804" s="8"/>
      <c r="L804" s="8"/>
    </row>
    <row r="805">
      <c r="F805" s="8"/>
      <c r="G805" s="8"/>
      <c r="L805" s="8"/>
    </row>
    <row r="806">
      <c r="F806" s="8"/>
      <c r="G806" s="8"/>
      <c r="L806" s="8"/>
    </row>
    <row r="807">
      <c r="F807" s="8"/>
      <c r="G807" s="8"/>
      <c r="L807" s="8"/>
    </row>
    <row r="808">
      <c r="F808" s="8"/>
      <c r="G808" s="8"/>
      <c r="L808" s="8"/>
    </row>
    <row r="809">
      <c r="F809" s="8"/>
      <c r="G809" s="8"/>
      <c r="L809" s="8"/>
    </row>
    <row r="810">
      <c r="F810" s="8"/>
      <c r="G810" s="8"/>
      <c r="L810" s="8"/>
    </row>
    <row r="811">
      <c r="F811" s="8"/>
      <c r="G811" s="8"/>
      <c r="L811" s="8"/>
    </row>
    <row r="812">
      <c r="F812" s="8"/>
      <c r="G812" s="8"/>
      <c r="L812" s="8"/>
    </row>
    <row r="813">
      <c r="F813" s="8"/>
      <c r="G813" s="8"/>
      <c r="L813" s="8"/>
    </row>
    <row r="814">
      <c r="F814" s="8"/>
      <c r="G814" s="8"/>
      <c r="L814" s="8"/>
    </row>
    <row r="815">
      <c r="F815" s="8"/>
      <c r="G815" s="8"/>
      <c r="L815" s="8"/>
    </row>
    <row r="816">
      <c r="F816" s="8"/>
      <c r="G816" s="8"/>
      <c r="L816" s="8"/>
    </row>
    <row r="817">
      <c r="F817" s="8"/>
      <c r="G817" s="8"/>
      <c r="L817" s="8"/>
    </row>
    <row r="818">
      <c r="F818" s="8"/>
      <c r="G818" s="8"/>
      <c r="L818" s="8"/>
    </row>
    <row r="819">
      <c r="F819" s="8"/>
      <c r="G819" s="8"/>
      <c r="L819" s="8"/>
    </row>
    <row r="820">
      <c r="F820" s="8"/>
      <c r="G820" s="8"/>
      <c r="L820" s="8"/>
    </row>
    <row r="821">
      <c r="F821" s="8"/>
      <c r="G821" s="8"/>
      <c r="L821" s="8"/>
    </row>
    <row r="822">
      <c r="F822" s="8"/>
      <c r="G822" s="8"/>
      <c r="L822" s="8"/>
    </row>
    <row r="823">
      <c r="F823" s="8"/>
      <c r="G823" s="8"/>
      <c r="L823" s="8"/>
    </row>
    <row r="824">
      <c r="F824" s="8"/>
      <c r="G824" s="8"/>
      <c r="L824" s="8"/>
    </row>
    <row r="825">
      <c r="F825" s="8"/>
      <c r="G825" s="8"/>
      <c r="L825" s="8"/>
    </row>
    <row r="826">
      <c r="F826" s="8"/>
      <c r="G826" s="8"/>
      <c r="L826" s="8"/>
    </row>
    <row r="827">
      <c r="F827" s="8"/>
      <c r="G827" s="8"/>
      <c r="L827" s="8"/>
    </row>
    <row r="828">
      <c r="F828" s="8"/>
      <c r="G828" s="8"/>
      <c r="L828" s="8"/>
    </row>
    <row r="829">
      <c r="F829" s="8"/>
      <c r="G829" s="8"/>
      <c r="L829" s="8"/>
    </row>
    <row r="830">
      <c r="F830" s="8"/>
      <c r="G830" s="8"/>
      <c r="L830" s="8"/>
    </row>
    <row r="831">
      <c r="F831" s="8"/>
      <c r="G831" s="8"/>
      <c r="L831" s="8"/>
    </row>
    <row r="832">
      <c r="F832" s="8"/>
      <c r="G832" s="8"/>
      <c r="L832" s="8"/>
    </row>
    <row r="833">
      <c r="F833" s="8"/>
      <c r="G833" s="8"/>
      <c r="L833" s="8"/>
    </row>
    <row r="834">
      <c r="F834" s="8"/>
      <c r="G834" s="8"/>
      <c r="L834" s="8"/>
    </row>
    <row r="835">
      <c r="F835" s="8"/>
      <c r="G835" s="8"/>
      <c r="L835" s="8"/>
    </row>
    <row r="836">
      <c r="F836" s="8"/>
      <c r="G836" s="8"/>
      <c r="L836" s="8"/>
    </row>
    <row r="837">
      <c r="F837" s="8"/>
      <c r="G837" s="8"/>
      <c r="L837" s="8"/>
    </row>
    <row r="838">
      <c r="F838" s="8"/>
      <c r="G838" s="8"/>
      <c r="L838" s="8"/>
    </row>
    <row r="839">
      <c r="F839" s="8"/>
      <c r="G839" s="8"/>
      <c r="L839" s="8"/>
    </row>
    <row r="840">
      <c r="F840" s="8"/>
      <c r="G840" s="8"/>
      <c r="L840" s="8"/>
    </row>
    <row r="841">
      <c r="F841" s="8"/>
      <c r="G841" s="8"/>
      <c r="L841" s="8"/>
    </row>
    <row r="842">
      <c r="F842" s="8"/>
      <c r="G842" s="8"/>
      <c r="L842" s="8"/>
    </row>
    <row r="843">
      <c r="F843" s="8"/>
      <c r="G843" s="8"/>
      <c r="L843" s="8"/>
    </row>
    <row r="844">
      <c r="F844" s="8"/>
      <c r="G844" s="8"/>
      <c r="L844" s="8"/>
    </row>
    <row r="845">
      <c r="F845" s="8"/>
      <c r="G845" s="8"/>
      <c r="L845" s="8"/>
    </row>
    <row r="846">
      <c r="F846" s="8"/>
      <c r="G846" s="8"/>
      <c r="L846" s="8"/>
    </row>
    <row r="847">
      <c r="F847" s="8"/>
      <c r="G847" s="8"/>
      <c r="L847" s="8"/>
    </row>
    <row r="848">
      <c r="F848" s="8"/>
      <c r="G848" s="8"/>
      <c r="L848" s="8"/>
    </row>
    <row r="849">
      <c r="F849" s="8"/>
      <c r="G849" s="8"/>
      <c r="L849" s="8"/>
    </row>
    <row r="850">
      <c r="F850" s="8"/>
      <c r="G850" s="8"/>
      <c r="L850" s="8"/>
    </row>
    <row r="851">
      <c r="F851" s="8"/>
      <c r="G851" s="8"/>
      <c r="L851" s="8"/>
    </row>
    <row r="852">
      <c r="F852" s="8"/>
      <c r="G852" s="8"/>
      <c r="L852" s="8"/>
    </row>
    <row r="853">
      <c r="F853" s="8"/>
      <c r="G853" s="8"/>
      <c r="L853" s="8"/>
    </row>
    <row r="854">
      <c r="F854" s="8"/>
      <c r="G854" s="8"/>
      <c r="L854" s="8"/>
    </row>
    <row r="855">
      <c r="F855" s="8"/>
      <c r="G855" s="8"/>
      <c r="L855" s="8"/>
    </row>
    <row r="856">
      <c r="F856" s="8"/>
      <c r="G856" s="8"/>
      <c r="L856" s="8"/>
    </row>
    <row r="857">
      <c r="F857" s="8"/>
      <c r="G857" s="8"/>
      <c r="L857" s="8"/>
    </row>
    <row r="858">
      <c r="F858" s="8"/>
      <c r="G858" s="8"/>
      <c r="L858" s="8"/>
    </row>
    <row r="859">
      <c r="F859" s="8"/>
      <c r="G859" s="8"/>
      <c r="L859" s="8"/>
    </row>
    <row r="860">
      <c r="F860" s="8"/>
      <c r="G860" s="8"/>
      <c r="L860" s="8"/>
    </row>
    <row r="861">
      <c r="F861" s="8"/>
      <c r="G861" s="8"/>
      <c r="L861" s="8"/>
    </row>
    <row r="862">
      <c r="F862" s="8"/>
      <c r="G862" s="8"/>
      <c r="L862" s="8"/>
    </row>
    <row r="863">
      <c r="F863" s="8"/>
      <c r="G863" s="8"/>
      <c r="L863" s="8"/>
    </row>
    <row r="864">
      <c r="F864" s="8"/>
      <c r="G864" s="8"/>
      <c r="L864" s="8"/>
    </row>
    <row r="865">
      <c r="F865" s="8"/>
      <c r="G865" s="8"/>
      <c r="L865" s="8"/>
    </row>
    <row r="866">
      <c r="F866" s="8"/>
      <c r="G866" s="8"/>
      <c r="L866" s="8"/>
    </row>
    <row r="867">
      <c r="F867" s="8"/>
      <c r="G867" s="8"/>
      <c r="L867" s="8"/>
    </row>
    <row r="868">
      <c r="F868" s="8"/>
      <c r="G868" s="8"/>
      <c r="L868" s="8"/>
    </row>
    <row r="869">
      <c r="F869" s="8"/>
      <c r="G869" s="8"/>
      <c r="L869" s="8"/>
    </row>
    <row r="870">
      <c r="F870" s="8"/>
      <c r="G870" s="8"/>
      <c r="L870" s="8"/>
    </row>
    <row r="871">
      <c r="F871" s="8"/>
      <c r="G871" s="8"/>
      <c r="L871" s="8"/>
    </row>
    <row r="872">
      <c r="F872" s="8"/>
      <c r="G872" s="8"/>
      <c r="L872" s="8"/>
    </row>
    <row r="873">
      <c r="F873" s="8"/>
      <c r="G873" s="8"/>
      <c r="L873" s="8"/>
    </row>
    <row r="874">
      <c r="F874" s="8"/>
      <c r="G874" s="8"/>
      <c r="L874" s="8"/>
    </row>
    <row r="875">
      <c r="F875" s="8"/>
      <c r="G875" s="8"/>
      <c r="L875" s="8"/>
    </row>
    <row r="876">
      <c r="F876" s="8"/>
      <c r="G876" s="8"/>
      <c r="L876" s="8"/>
    </row>
    <row r="877">
      <c r="F877" s="8"/>
      <c r="G877" s="8"/>
      <c r="L877" s="8"/>
    </row>
    <row r="878">
      <c r="F878" s="8"/>
      <c r="G878" s="8"/>
      <c r="L878" s="8"/>
    </row>
    <row r="879">
      <c r="F879" s="8"/>
      <c r="G879" s="8"/>
      <c r="L879" s="8"/>
    </row>
    <row r="880">
      <c r="F880" s="8"/>
      <c r="G880" s="8"/>
      <c r="L880" s="8"/>
    </row>
    <row r="881">
      <c r="F881" s="8"/>
      <c r="G881" s="8"/>
      <c r="L881" s="8"/>
    </row>
    <row r="882">
      <c r="F882" s="8"/>
      <c r="G882" s="8"/>
      <c r="L882" s="8"/>
    </row>
    <row r="883">
      <c r="F883" s="8"/>
      <c r="G883" s="8"/>
      <c r="L883" s="8"/>
    </row>
    <row r="884">
      <c r="F884" s="8"/>
      <c r="G884" s="8"/>
      <c r="L884" s="8"/>
    </row>
    <row r="885">
      <c r="F885" s="8"/>
      <c r="G885" s="8"/>
      <c r="L885" s="8"/>
    </row>
    <row r="886">
      <c r="F886" s="8"/>
      <c r="G886" s="8"/>
      <c r="L886" s="8"/>
    </row>
    <row r="887">
      <c r="F887" s="8"/>
      <c r="G887" s="8"/>
      <c r="L887" s="8"/>
    </row>
    <row r="888">
      <c r="F888" s="8"/>
      <c r="G888" s="8"/>
      <c r="L888" s="8"/>
    </row>
    <row r="889">
      <c r="F889" s="8"/>
      <c r="G889" s="8"/>
      <c r="L889" s="8"/>
    </row>
    <row r="890">
      <c r="F890" s="8"/>
      <c r="G890" s="8"/>
      <c r="L890" s="8"/>
    </row>
    <row r="891">
      <c r="F891" s="8"/>
      <c r="G891" s="8"/>
      <c r="L891" s="8"/>
    </row>
    <row r="892">
      <c r="F892" s="8"/>
      <c r="G892" s="8"/>
      <c r="L892" s="8"/>
    </row>
    <row r="893">
      <c r="F893" s="8"/>
      <c r="G893" s="8"/>
      <c r="L893" s="8"/>
    </row>
    <row r="894">
      <c r="F894" s="8"/>
      <c r="G894" s="8"/>
      <c r="L894" s="8"/>
    </row>
    <row r="895">
      <c r="F895" s="8"/>
      <c r="G895" s="8"/>
      <c r="L895" s="8"/>
    </row>
    <row r="896">
      <c r="F896" s="8"/>
      <c r="G896" s="8"/>
      <c r="L896" s="8"/>
    </row>
    <row r="897">
      <c r="F897" s="8"/>
      <c r="G897" s="8"/>
      <c r="L897" s="8"/>
    </row>
    <row r="898">
      <c r="F898" s="8"/>
      <c r="G898" s="8"/>
      <c r="L898" s="8"/>
    </row>
    <row r="899">
      <c r="F899" s="8"/>
      <c r="G899" s="8"/>
      <c r="L899" s="8"/>
    </row>
    <row r="900">
      <c r="F900" s="8"/>
      <c r="G900" s="8"/>
      <c r="L900" s="8"/>
    </row>
    <row r="901">
      <c r="F901" s="8"/>
      <c r="G901" s="8"/>
      <c r="L901" s="8"/>
    </row>
    <row r="902">
      <c r="F902" s="8"/>
      <c r="G902" s="8"/>
      <c r="L902" s="8"/>
    </row>
    <row r="903">
      <c r="F903" s="8"/>
      <c r="G903" s="8"/>
      <c r="L903" s="8"/>
    </row>
    <row r="904">
      <c r="F904" s="8"/>
      <c r="G904" s="8"/>
      <c r="L904" s="8"/>
    </row>
    <row r="905">
      <c r="F905" s="8"/>
      <c r="G905" s="8"/>
      <c r="L905" s="8"/>
    </row>
    <row r="906">
      <c r="F906" s="8"/>
      <c r="G906" s="8"/>
      <c r="L906" s="8"/>
    </row>
    <row r="907">
      <c r="F907" s="8"/>
      <c r="G907" s="8"/>
      <c r="L907" s="8"/>
    </row>
    <row r="908">
      <c r="F908" s="8"/>
      <c r="G908" s="8"/>
      <c r="L908" s="8"/>
    </row>
    <row r="909">
      <c r="F909" s="8"/>
      <c r="G909" s="8"/>
      <c r="L909" s="8"/>
    </row>
    <row r="910">
      <c r="F910" s="8"/>
      <c r="G910" s="8"/>
      <c r="L910" s="8"/>
    </row>
    <row r="911">
      <c r="F911" s="8"/>
      <c r="G911" s="8"/>
      <c r="L911" s="8"/>
    </row>
    <row r="912">
      <c r="F912" s="8"/>
      <c r="G912" s="8"/>
      <c r="L912" s="8"/>
    </row>
    <row r="913">
      <c r="F913" s="8"/>
      <c r="G913" s="8"/>
      <c r="L913" s="8"/>
    </row>
    <row r="914">
      <c r="F914" s="8"/>
      <c r="G914" s="8"/>
      <c r="L914" s="8"/>
    </row>
    <row r="915">
      <c r="F915" s="8"/>
      <c r="G915" s="8"/>
      <c r="L915" s="8"/>
    </row>
    <row r="916">
      <c r="F916" s="8"/>
      <c r="G916" s="8"/>
      <c r="L916" s="8"/>
    </row>
    <row r="917">
      <c r="F917" s="8"/>
      <c r="G917" s="8"/>
      <c r="L917" s="8"/>
    </row>
    <row r="918">
      <c r="F918" s="8"/>
      <c r="G918" s="8"/>
      <c r="L918" s="8"/>
    </row>
    <row r="919">
      <c r="F919" s="8"/>
      <c r="G919" s="8"/>
      <c r="L919" s="8"/>
    </row>
    <row r="920">
      <c r="F920" s="8"/>
      <c r="G920" s="8"/>
      <c r="L920" s="8"/>
    </row>
    <row r="921">
      <c r="F921" s="8"/>
      <c r="G921" s="8"/>
      <c r="L921" s="8"/>
    </row>
    <row r="922">
      <c r="F922" s="8"/>
      <c r="G922" s="8"/>
      <c r="L922" s="8"/>
    </row>
    <row r="923">
      <c r="F923" s="8"/>
      <c r="G923" s="8"/>
      <c r="L923" s="8"/>
    </row>
    <row r="924">
      <c r="F924" s="8"/>
      <c r="G924" s="8"/>
      <c r="L924" s="8"/>
    </row>
    <row r="925">
      <c r="F925" s="8"/>
      <c r="G925" s="8"/>
      <c r="L925" s="8"/>
    </row>
    <row r="926">
      <c r="F926" s="8"/>
      <c r="G926" s="8"/>
      <c r="L926" s="8"/>
    </row>
    <row r="927">
      <c r="F927" s="8"/>
      <c r="G927" s="8"/>
      <c r="L927" s="8"/>
    </row>
    <row r="928">
      <c r="F928" s="8"/>
      <c r="G928" s="8"/>
      <c r="L928" s="8"/>
    </row>
    <row r="929">
      <c r="F929" s="8"/>
      <c r="G929" s="8"/>
      <c r="L929" s="8"/>
    </row>
    <row r="930">
      <c r="F930" s="8"/>
      <c r="G930" s="8"/>
      <c r="L930" s="8"/>
    </row>
    <row r="931">
      <c r="F931" s="8"/>
      <c r="G931" s="8"/>
      <c r="L931" s="8"/>
    </row>
    <row r="932">
      <c r="F932" s="8"/>
      <c r="G932" s="8"/>
      <c r="L932" s="8"/>
    </row>
    <row r="933">
      <c r="F933" s="8"/>
      <c r="G933" s="8"/>
      <c r="L933" s="8"/>
    </row>
    <row r="934">
      <c r="F934" s="8"/>
      <c r="G934" s="8"/>
      <c r="L934" s="8"/>
    </row>
    <row r="935">
      <c r="F935" s="8"/>
      <c r="G935" s="8"/>
      <c r="L935" s="8"/>
    </row>
    <row r="936">
      <c r="F936" s="8"/>
      <c r="G936" s="8"/>
      <c r="L936" s="8"/>
    </row>
    <row r="937">
      <c r="F937" s="8"/>
      <c r="G937" s="8"/>
      <c r="L937" s="8"/>
    </row>
    <row r="938">
      <c r="F938" s="8"/>
      <c r="G938" s="8"/>
      <c r="L938" s="8"/>
    </row>
    <row r="939">
      <c r="F939" s="8"/>
      <c r="G939" s="8"/>
      <c r="L939" s="8"/>
    </row>
    <row r="940">
      <c r="F940" s="8"/>
      <c r="G940" s="8"/>
      <c r="L940" s="8"/>
    </row>
    <row r="941">
      <c r="F941" s="8"/>
      <c r="G941" s="8"/>
      <c r="L941" s="8"/>
    </row>
    <row r="942">
      <c r="F942" s="8"/>
      <c r="G942" s="8"/>
      <c r="L942" s="8"/>
    </row>
    <row r="943">
      <c r="F943" s="8"/>
      <c r="G943" s="8"/>
      <c r="L943" s="8"/>
    </row>
    <row r="944">
      <c r="F944" s="8"/>
      <c r="G944" s="8"/>
      <c r="L944" s="8"/>
    </row>
    <row r="945">
      <c r="F945" s="8"/>
      <c r="G945" s="8"/>
      <c r="L945" s="8"/>
    </row>
    <row r="946">
      <c r="F946" s="8"/>
      <c r="G946" s="8"/>
      <c r="L946" s="8"/>
    </row>
    <row r="947">
      <c r="F947" s="8"/>
      <c r="G947" s="8"/>
      <c r="L947" s="8"/>
    </row>
    <row r="948">
      <c r="F948" s="8"/>
      <c r="G948" s="8"/>
      <c r="L948" s="8"/>
    </row>
    <row r="949">
      <c r="F949" s="8"/>
      <c r="G949" s="8"/>
      <c r="L949" s="8"/>
    </row>
    <row r="950">
      <c r="F950" s="8"/>
      <c r="G950" s="8"/>
      <c r="L950" s="8"/>
    </row>
    <row r="951">
      <c r="F951" s="8"/>
      <c r="G951" s="8"/>
      <c r="L951" s="8"/>
    </row>
    <row r="952">
      <c r="F952" s="8"/>
      <c r="G952" s="8"/>
      <c r="L952" s="8"/>
    </row>
    <row r="953">
      <c r="F953" s="8"/>
      <c r="G953" s="8"/>
      <c r="L953" s="8"/>
    </row>
    <row r="954">
      <c r="F954" s="8"/>
      <c r="G954" s="8"/>
      <c r="L954" s="8"/>
    </row>
    <row r="955">
      <c r="F955" s="8"/>
      <c r="G955" s="8"/>
      <c r="L955" s="8"/>
    </row>
    <row r="956">
      <c r="F956" s="8"/>
      <c r="G956" s="8"/>
      <c r="L956" s="8"/>
    </row>
    <row r="957">
      <c r="F957" s="8"/>
      <c r="G957" s="8"/>
      <c r="L957" s="8"/>
    </row>
    <row r="958">
      <c r="F958" s="8"/>
      <c r="G958" s="8"/>
      <c r="L958" s="8"/>
    </row>
    <row r="959">
      <c r="F959" s="8"/>
      <c r="G959" s="8"/>
      <c r="L959" s="8"/>
    </row>
    <row r="960">
      <c r="F960" s="8"/>
      <c r="G960" s="8"/>
      <c r="L960" s="8"/>
    </row>
    <row r="961">
      <c r="F961" s="8"/>
      <c r="G961" s="8"/>
      <c r="L961" s="8"/>
    </row>
    <row r="962">
      <c r="F962" s="8"/>
      <c r="G962" s="8"/>
      <c r="L962" s="8"/>
    </row>
    <row r="963">
      <c r="F963" s="8"/>
      <c r="G963" s="8"/>
      <c r="L963" s="8"/>
    </row>
    <row r="964">
      <c r="F964" s="8"/>
      <c r="G964" s="8"/>
      <c r="L964" s="8"/>
    </row>
    <row r="965">
      <c r="F965" s="8"/>
      <c r="G965" s="8"/>
      <c r="L965" s="8"/>
    </row>
    <row r="966">
      <c r="F966" s="8"/>
      <c r="G966" s="8"/>
      <c r="L966" s="8"/>
    </row>
    <row r="967">
      <c r="F967" s="8"/>
      <c r="G967" s="8"/>
      <c r="L967" s="8"/>
    </row>
    <row r="968">
      <c r="F968" s="8"/>
      <c r="G968" s="8"/>
      <c r="L968" s="8"/>
    </row>
    <row r="969">
      <c r="F969" s="8"/>
      <c r="G969" s="8"/>
      <c r="L969" s="8"/>
    </row>
    <row r="970">
      <c r="F970" s="8"/>
      <c r="G970" s="8"/>
      <c r="L970" s="8"/>
    </row>
    <row r="971">
      <c r="F971" s="8"/>
      <c r="G971" s="8"/>
      <c r="L971" s="8"/>
    </row>
    <row r="972">
      <c r="F972" s="8"/>
      <c r="G972" s="8"/>
      <c r="L972" s="8"/>
    </row>
    <row r="973">
      <c r="F973" s="8"/>
      <c r="G973" s="8"/>
      <c r="L973" s="8"/>
    </row>
    <row r="974">
      <c r="F974" s="8"/>
      <c r="G974" s="8"/>
      <c r="L974" s="8"/>
    </row>
    <row r="975">
      <c r="F975" s="8"/>
      <c r="G975" s="8"/>
      <c r="L975" s="8"/>
    </row>
    <row r="976">
      <c r="F976" s="8"/>
      <c r="G976" s="8"/>
      <c r="L976" s="8"/>
    </row>
    <row r="977">
      <c r="F977" s="8"/>
      <c r="G977" s="8"/>
      <c r="L977" s="8"/>
    </row>
    <row r="978">
      <c r="F978" s="8"/>
      <c r="G978" s="8"/>
      <c r="L978" s="8"/>
    </row>
    <row r="979">
      <c r="F979" s="8"/>
      <c r="G979" s="8"/>
      <c r="L979" s="8"/>
    </row>
    <row r="980">
      <c r="F980" s="8"/>
      <c r="G980" s="8"/>
      <c r="L980" s="8"/>
    </row>
    <row r="981">
      <c r="F981" s="8"/>
      <c r="G981" s="8"/>
      <c r="L981" s="8"/>
    </row>
    <row r="982">
      <c r="F982" s="8"/>
      <c r="G982" s="8"/>
      <c r="L982" s="8"/>
    </row>
    <row r="983">
      <c r="F983" s="8"/>
      <c r="G983" s="8"/>
      <c r="L983" s="8"/>
    </row>
    <row r="984">
      <c r="F984" s="8"/>
      <c r="G984" s="8"/>
      <c r="L984" s="8"/>
    </row>
    <row r="985">
      <c r="F985" s="8"/>
      <c r="G985" s="8"/>
      <c r="L985" s="8"/>
    </row>
    <row r="986">
      <c r="F986" s="8"/>
      <c r="G986" s="8"/>
      <c r="L986" s="8"/>
    </row>
    <row r="987">
      <c r="F987" s="8"/>
      <c r="G987" s="8"/>
      <c r="L987" s="8"/>
    </row>
    <row r="988">
      <c r="F988" s="8"/>
      <c r="G988" s="8"/>
      <c r="L988" s="8"/>
    </row>
    <row r="989">
      <c r="F989" s="8"/>
      <c r="G989" s="8"/>
      <c r="L989" s="8"/>
    </row>
    <row r="990">
      <c r="F990" s="8"/>
      <c r="G990" s="8"/>
      <c r="L990" s="8"/>
    </row>
    <row r="991">
      <c r="F991" s="8"/>
      <c r="G991" s="8"/>
      <c r="L991" s="8"/>
    </row>
    <row r="992">
      <c r="F992" s="8"/>
      <c r="G992" s="8"/>
      <c r="L992" s="8"/>
    </row>
    <row r="993">
      <c r="F993" s="8"/>
      <c r="G993" s="8"/>
      <c r="L993" s="8"/>
    </row>
    <row r="994">
      <c r="F994" s="8"/>
      <c r="G994" s="8"/>
      <c r="L994" s="8"/>
    </row>
    <row r="995">
      <c r="F995" s="8"/>
      <c r="G995" s="8"/>
      <c r="L995" s="8"/>
    </row>
    <row r="996">
      <c r="F996" s="8"/>
      <c r="G996" s="8"/>
      <c r="L996" s="8"/>
    </row>
    <row r="997">
      <c r="F997" s="8"/>
      <c r="G997" s="8"/>
      <c r="L997" s="8"/>
    </row>
    <row r="998">
      <c r="F998" s="8"/>
      <c r="G998" s="8"/>
      <c r="L998" s="8"/>
    </row>
    <row r="999">
      <c r="F999" s="8"/>
      <c r="G999" s="8"/>
      <c r="L999" s="8"/>
    </row>
    <row r="1000">
      <c r="F1000" s="8"/>
      <c r="G1000" s="8"/>
      <c r="L1000" s="8"/>
    </row>
    <row r="1001">
      <c r="F1001" s="8"/>
      <c r="G1001" s="8"/>
      <c r="L1001" s="8"/>
    </row>
    <row r="1002">
      <c r="F1002" s="8"/>
      <c r="G1002" s="8"/>
      <c r="L1002" s="8"/>
    </row>
    <row r="1003">
      <c r="F1003" s="8"/>
      <c r="G1003" s="8"/>
      <c r="L1003" s="8"/>
    </row>
    <row r="1004">
      <c r="F1004" s="8"/>
      <c r="G1004" s="8"/>
      <c r="L1004" s="8"/>
    </row>
    <row r="1005">
      <c r="F1005" s="8"/>
      <c r="G1005" s="8"/>
      <c r="L1005" s="8"/>
    </row>
    <row r="1006">
      <c r="F1006" s="8"/>
      <c r="G1006" s="8"/>
      <c r="L1006" s="8"/>
    </row>
    <row r="1007">
      <c r="F1007" s="8"/>
      <c r="G1007" s="8"/>
      <c r="L1007" s="8"/>
    </row>
    <row r="1008">
      <c r="F1008" s="8"/>
      <c r="G1008" s="8"/>
      <c r="L1008" s="8"/>
    </row>
    <row r="1009">
      <c r="F1009" s="8"/>
      <c r="G1009" s="8"/>
      <c r="L1009" s="8"/>
    </row>
    <row r="1010">
      <c r="F1010" s="8"/>
      <c r="G1010" s="8"/>
      <c r="L1010" s="8"/>
    </row>
    <row r="1011">
      <c r="F1011" s="8"/>
      <c r="G1011" s="8"/>
      <c r="L1011" s="8"/>
    </row>
    <row r="1012">
      <c r="F1012" s="8"/>
      <c r="G1012" s="8"/>
      <c r="L1012" s="8"/>
    </row>
    <row r="1013">
      <c r="F1013" s="8"/>
      <c r="G1013" s="8"/>
      <c r="L1013" s="8"/>
    </row>
    <row r="1014">
      <c r="F1014" s="8"/>
      <c r="G1014" s="8"/>
      <c r="L1014" s="8"/>
    </row>
    <row r="1015">
      <c r="F1015" s="8"/>
      <c r="G1015" s="8"/>
      <c r="L1015" s="8"/>
    </row>
    <row r="1016">
      <c r="F1016" s="8"/>
      <c r="G1016" s="8"/>
      <c r="L1016" s="8"/>
    </row>
    <row r="1017">
      <c r="F1017" s="8"/>
      <c r="G1017" s="8"/>
      <c r="L1017" s="8"/>
    </row>
    <row r="1018">
      <c r="F1018" s="8"/>
      <c r="G1018" s="8"/>
      <c r="L1018" s="8"/>
    </row>
    <row r="1019">
      <c r="F1019" s="8"/>
      <c r="G1019" s="8"/>
      <c r="L1019" s="8"/>
    </row>
    <row r="1020">
      <c r="F1020" s="8"/>
      <c r="G1020" s="8"/>
      <c r="L1020" s="8"/>
    </row>
    <row r="1021">
      <c r="F1021" s="8"/>
      <c r="G1021" s="8"/>
      <c r="L1021" s="8"/>
    </row>
    <row r="1022">
      <c r="F1022" s="8"/>
      <c r="G1022" s="8"/>
      <c r="L1022" s="8"/>
    </row>
    <row r="1023">
      <c r="F1023" s="8"/>
      <c r="G1023" s="8"/>
      <c r="L1023" s="8"/>
    </row>
    <row r="1024">
      <c r="F1024" s="8"/>
      <c r="G1024" s="8"/>
      <c r="L1024" s="8"/>
    </row>
    <row r="1025">
      <c r="F1025" s="8"/>
      <c r="G1025" s="8"/>
      <c r="L1025" s="8"/>
    </row>
    <row r="1026">
      <c r="F1026" s="8"/>
      <c r="G1026" s="8"/>
      <c r="L1026" s="8"/>
    </row>
    <row r="1027">
      <c r="F1027" s="8"/>
      <c r="G1027" s="8"/>
      <c r="L1027" s="8"/>
    </row>
  </sheetData>
  <mergeCells count="221">
    <mergeCell ref="M104:M108"/>
    <mergeCell ref="N104:N108"/>
    <mergeCell ref="A97:A99"/>
    <mergeCell ref="A100:A103"/>
    <mergeCell ref="L100:L103"/>
    <mergeCell ref="M100:M103"/>
    <mergeCell ref="N100:N103"/>
    <mergeCell ref="Q100:Q103"/>
    <mergeCell ref="L104:L108"/>
    <mergeCell ref="Q104:Q108"/>
    <mergeCell ref="M114:M118"/>
    <mergeCell ref="N114:N118"/>
    <mergeCell ref="A104:A108"/>
    <mergeCell ref="A109:A113"/>
    <mergeCell ref="L109:L113"/>
    <mergeCell ref="M109:M113"/>
    <mergeCell ref="N109:N113"/>
    <mergeCell ref="Q109:Q113"/>
    <mergeCell ref="L114:L118"/>
    <mergeCell ref="Q114:Q118"/>
    <mergeCell ref="M124:M127"/>
    <mergeCell ref="N124:N127"/>
    <mergeCell ref="A114:A118"/>
    <mergeCell ref="A119:A123"/>
    <mergeCell ref="L119:L123"/>
    <mergeCell ref="M119:M123"/>
    <mergeCell ref="N119:N123"/>
    <mergeCell ref="Q119:Q123"/>
    <mergeCell ref="L124:L127"/>
    <mergeCell ref="Q124:Q127"/>
    <mergeCell ref="M130:M133"/>
    <mergeCell ref="N130:N133"/>
    <mergeCell ref="A124:A127"/>
    <mergeCell ref="A128:A129"/>
    <mergeCell ref="L128:L129"/>
    <mergeCell ref="M128:M129"/>
    <mergeCell ref="N128:N129"/>
    <mergeCell ref="Q128:Q129"/>
    <mergeCell ref="L130:L133"/>
    <mergeCell ref="Q130:Q133"/>
    <mergeCell ref="M138:M142"/>
    <mergeCell ref="N138:N142"/>
    <mergeCell ref="A130:A133"/>
    <mergeCell ref="A134:A137"/>
    <mergeCell ref="L134:L137"/>
    <mergeCell ref="M134:M137"/>
    <mergeCell ref="N134:N137"/>
    <mergeCell ref="Q134:Q137"/>
    <mergeCell ref="L138:L142"/>
    <mergeCell ref="Q138:Q142"/>
    <mergeCell ref="M148:M152"/>
    <mergeCell ref="N148:N152"/>
    <mergeCell ref="A138:A142"/>
    <mergeCell ref="A143:A147"/>
    <mergeCell ref="L143:L147"/>
    <mergeCell ref="M143:M147"/>
    <mergeCell ref="N143:N147"/>
    <mergeCell ref="Q143:Q147"/>
    <mergeCell ref="L148:L152"/>
    <mergeCell ref="Q148:Q152"/>
    <mergeCell ref="L157:L159"/>
    <mergeCell ref="M157:M159"/>
    <mergeCell ref="Q153:Q156"/>
    <mergeCell ref="Q157:Q159"/>
    <mergeCell ref="Q160:Q162"/>
    <mergeCell ref="Q163:Q165"/>
    <mergeCell ref="L153:L156"/>
    <mergeCell ref="L160:L162"/>
    <mergeCell ref="M160:M162"/>
    <mergeCell ref="N160:N162"/>
    <mergeCell ref="N166:N168"/>
    <mergeCell ref="N169:N172"/>
    <mergeCell ref="A163:A165"/>
    <mergeCell ref="A166:A168"/>
    <mergeCell ref="A169:A172"/>
    <mergeCell ref="A173:A176"/>
    <mergeCell ref="A177:A181"/>
    <mergeCell ref="A148:A152"/>
    <mergeCell ref="A153:A156"/>
    <mergeCell ref="N153:N156"/>
    <mergeCell ref="A157:A159"/>
    <mergeCell ref="N157:N159"/>
    <mergeCell ref="A160:A162"/>
    <mergeCell ref="N163:N165"/>
    <mergeCell ref="L173:L176"/>
    <mergeCell ref="M173:M176"/>
    <mergeCell ref="N173:N176"/>
    <mergeCell ref="L177:L181"/>
    <mergeCell ref="M177:M181"/>
    <mergeCell ref="N177:N181"/>
    <mergeCell ref="M153:M156"/>
    <mergeCell ref="L163:L165"/>
    <mergeCell ref="M163:M165"/>
    <mergeCell ref="L166:L168"/>
    <mergeCell ref="M166:M168"/>
    <mergeCell ref="L169:L172"/>
    <mergeCell ref="M169:M172"/>
    <mergeCell ref="A2:A4"/>
    <mergeCell ref="L2:L4"/>
    <mergeCell ref="M2:M4"/>
    <mergeCell ref="N2:N4"/>
    <mergeCell ref="Q2:Q4"/>
    <mergeCell ref="L5:L6"/>
    <mergeCell ref="Q5:Q6"/>
    <mergeCell ref="M5:M6"/>
    <mergeCell ref="N5:N6"/>
    <mergeCell ref="L7:L10"/>
    <mergeCell ref="M7:M10"/>
    <mergeCell ref="N7:N10"/>
    <mergeCell ref="Q7:Q10"/>
    <mergeCell ref="L11:L16"/>
    <mergeCell ref="M11:M16"/>
    <mergeCell ref="N11:N16"/>
    <mergeCell ref="L17:L20"/>
    <mergeCell ref="M17:M20"/>
    <mergeCell ref="N17:N20"/>
    <mergeCell ref="M21:M24"/>
    <mergeCell ref="N21:N24"/>
    <mergeCell ref="A5:A6"/>
    <mergeCell ref="A7:A10"/>
    <mergeCell ref="A11:A16"/>
    <mergeCell ref="A17:A20"/>
    <mergeCell ref="A21:A24"/>
    <mergeCell ref="A25:A28"/>
    <mergeCell ref="A29:A33"/>
    <mergeCell ref="A34:A37"/>
    <mergeCell ref="A38:A41"/>
    <mergeCell ref="A42:A47"/>
    <mergeCell ref="A48:A51"/>
    <mergeCell ref="A52:A55"/>
    <mergeCell ref="A56:A58"/>
    <mergeCell ref="A59:A64"/>
    <mergeCell ref="L21:L24"/>
    <mergeCell ref="L25:L28"/>
    <mergeCell ref="M25:M28"/>
    <mergeCell ref="N25:N28"/>
    <mergeCell ref="L29:L33"/>
    <mergeCell ref="M29:M33"/>
    <mergeCell ref="N29:N33"/>
    <mergeCell ref="A65:A70"/>
    <mergeCell ref="A71:A73"/>
    <mergeCell ref="A74:A76"/>
    <mergeCell ref="A77:A81"/>
    <mergeCell ref="A82:A84"/>
    <mergeCell ref="A85:A87"/>
    <mergeCell ref="A88:A90"/>
    <mergeCell ref="M42:M47"/>
    <mergeCell ref="N42:N47"/>
    <mergeCell ref="L34:L37"/>
    <mergeCell ref="M34:M37"/>
    <mergeCell ref="N34:N37"/>
    <mergeCell ref="L38:L41"/>
    <mergeCell ref="M38:M41"/>
    <mergeCell ref="N38:N41"/>
    <mergeCell ref="L42:L47"/>
    <mergeCell ref="Q42:Q47"/>
    <mergeCell ref="Q48:Q51"/>
    <mergeCell ref="Q11:Q16"/>
    <mergeCell ref="Q17:Q20"/>
    <mergeCell ref="Q21:Q24"/>
    <mergeCell ref="Q25:Q28"/>
    <mergeCell ref="Q29:Q33"/>
    <mergeCell ref="Q34:Q37"/>
    <mergeCell ref="Q38:Q41"/>
    <mergeCell ref="L48:L51"/>
    <mergeCell ref="M48:M51"/>
    <mergeCell ref="N48:N51"/>
    <mergeCell ref="L52:L55"/>
    <mergeCell ref="M52:M55"/>
    <mergeCell ref="N52:N55"/>
    <mergeCell ref="Q52:Q55"/>
    <mergeCell ref="L56:L58"/>
    <mergeCell ref="M56:M58"/>
    <mergeCell ref="N56:N58"/>
    <mergeCell ref="Q56:Q58"/>
    <mergeCell ref="M59:M64"/>
    <mergeCell ref="N59:N64"/>
    <mergeCell ref="Q59:Q64"/>
    <mergeCell ref="Q65:Q70"/>
    <mergeCell ref="Q71:Q73"/>
    <mergeCell ref="L59:L64"/>
    <mergeCell ref="L65:L70"/>
    <mergeCell ref="M65:M70"/>
    <mergeCell ref="N65:N70"/>
    <mergeCell ref="L71:L73"/>
    <mergeCell ref="M71:M73"/>
    <mergeCell ref="N71:N73"/>
    <mergeCell ref="L77:L81"/>
    <mergeCell ref="L82:L84"/>
    <mergeCell ref="M82:M84"/>
    <mergeCell ref="N82:N84"/>
    <mergeCell ref="L74:L76"/>
    <mergeCell ref="M74:M76"/>
    <mergeCell ref="N74:N76"/>
    <mergeCell ref="Q74:Q76"/>
    <mergeCell ref="M77:M81"/>
    <mergeCell ref="N77:N81"/>
    <mergeCell ref="Q77:Q81"/>
    <mergeCell ref="Q82:Q84"/>
    <mergeCell ref="L88:L90"/>
    <mergeCell ref="L91:L93"/>
    <mergeCell ref="M91:M93"/>
    <mergeCell ref="N91:N93"/>
    <mergeCell ref="L85:L87"/>
    <mergeCell ref="M85:M87"/>
    <mergeCell ref="N85:N87"/>
    <mergeCell ref="Q85:Q87"/>
    <mergeCell ref="M88:M90"/>
    <mergeCell ref="N88:N90"/>
    <mergeCell ref="Q88:Q90"/>
    <mergeCell ref="Q91:Q93"/>
    <mergeCell ref="M97:M99"/>
    <mergeCell ref="N97:N99"/>
    <mergeCell ref="A91:A93"/>
    <mergeCell ref="A94:A96"/>
    <mergeCell ref="L94:L96"/>
    <mergeCell ref="M94:M96"/>
    <mergeCell ref="N94:N96"/>
    <mergeCell ref="Q94:Q96"/>
    <mergeCell ref="L97:L99"/>
    <mergeCell ref="Q97:Q99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4"/>
  <legacyDrawing r:id="rId5"/>
</worksheet>
</file>